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① 配置词典" sheetId="2" state="visible" r:id="rId2"/>
    <sheet xmlns:r="http://schemas.openxmlformats.org/officeDocument/2006/relationships" name="② 术语·评测集" sheetId="3" state="visible" r:id="rId3"/>
    <sheet xmlns:r="http://schemas.openxmlformats.org/officeDocument/2006/relationships" name="Framework" sheetId="4" state="visible" r:id="rId4"/>
    <sheet xmlns:r="http://schemas.openxmlformats.org/officeDocument/2006/relationships" name="#1_Main" sheetId="5" state="visible" r:id="rId5"/>
    <sheet xmlns:r="http://schemas.openxmlformats.org/officeDocument/2006/relationships" name="#2_3Pillar" sheetId="6" state="visible" r:id="rId6"/>
    <sheet xmlns:r="http://schemas.openxmlformats.org/officeDocument/2006/relationships" name="#3_Rules" sheetId="7" state="visible" r:id="rId7"/>
    <sheet xmlns:r="http://schemas.openxmlformats.org/officeDocument/2006/relationships" name="#4_Polish" sheetId="8" state="visible" r:id="rId8"/>
    <sheet xmlns:r="http://schemas.openxmlformats.org/officeDocument/2006/relationships" name="#5_Errors" sheetId="9" state="visible" r:id="rId9"/>
    <sheet xmlns:r="http://schemas.openxmlformats.org/officeDocument/2006/relationships" name="#6_Scaling" sheetId="10" state="visible" r:id="rId10"/>
    <sheet xmlns:r="http://schemas.openxmlformats.org/officeDocument/2006/relationships" name="#7_GRPO" sheetId="11" state="visible" r:id="rId11"/>
    <sheet xmlns:r="http://schemas.openxmlformats.org/officeDocument/2006/relationships" name="#8_FilterAblation" sheetId="12" state="visible" r:id="rId12"/>
    <sheet xmlns:r="http://schemas.openxmlformats.org/officeDocument/2006/relationships" name="#9_NewBen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  <sz val="11"/>
    </font>
    <font>
      <b val="1"/>
    </font>
    <font>
      <b val="1"/>
      <sz val="11"/>
    </font>
    <font>
      <color rgb="00888888"/>
    </font>
    <font>
      <b val="1"/>
      <color rgb="00305496"/>
      <sz val="12"/>
    </font>
    <font>
      <b val="1"/>
      <color rgb="00375623"/>
    </font>
    <font>
      <b val="1"/>
      <color rgb="001F4E78"/>
    </font>
    <font>
      <b val="1"/>
      <color rgb="00C00000"/>
      <sz val="11"/>
    </font>
    <font>
      <b val="1"/>
      <color rgb="00305496"/>
      <sz val="13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10" fillId="4" borderId="0" applyAlignment="1" pivotButton="0" quotePrefix="0" xfId="0">
      <alignment vertical="center" wrapText="1"/>
    </xf>
    <xf numFmtId="0" fontId="11" fillId="0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2" fillId="0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left" vertical="center" wrapText="1"/>
    </xf>
    <xf numFmtId="0" fontId="0" fillId="4" borderId="1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center" vertical="center" wrapText="1"/>
    </xf>
    <xf numFmtId="0" fontId="0" fillId="8" borderId="11" applyAlignment="1" pivotButton="0" quotePrefix="0" xfId="0">
      <alignment horizontal="left" vertical="center" wrapText="1"/>
    </xf>
    <xf numFmtId="0" fontId="0" fillId="6" borderId="11" applyAlignment="1" pivotButton="0" quotePrefix="0" xfId="0">
      <alignment horizontal="left" vertical="center" wrapText="1"/>
    </xf>
    <xf numFmtId="0" fontId="0" fillId="5" borderId="11" applyAlignment="1" pivotButton="0" quotePrefix="0" xfId="0">
      <alignment horizontal="left" vertical="center" wrapText="1"/>
    </xf>
    <xf numFmtId="0" fontId="0" fillId="3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18" customWidth="1" min="4" max="4"/>
    <col width="60" customWidth="1" min="5" max="5"/>
    <col width="14" customWidth="1" min="6" max="6"/>
  </cols>
  <sheetData>
    <row r="1">
      <c r="A1" s="1" t="inlineStr">
        <is>
          <t>MISD: 7 实验总览 (Qwen2.5-3B base)</t>
        </is>
      </c>
    </row>
    <row r="2">
      <c r="A2" s="2" t="inlineStr">
        <is>
          <t>评测：SVAMP / ASDiv / AddSub / MATH500 / GSM8K  共 5 个 benchmark（MultiArith 与 AddSub 功能重复且区分度低，已移除）。所有数字为 0-shot accuracy %。</t>
        </is>
      </c>
    </row>
    <row r="3">
      <c r="A3" s="2" t="inlineStr">
        <is>
          <t>数据来源说明：scale 实验为本次新训练；其余主表、消融、GRPO 均为已训练模型重 eval（数据 pipeline 自 5月底未变动）。</t>
        </is>
      </c>
    </row>
    <row r="5" ht="22" customHeight="1">
      <c r="A5" s="3" t="inlineStr">
        <is>
          <t>#</t>
        </is>
      </c>
      <c r="B5" s="3" t="inlineStr">
        <is>
          <t>实验</t>
        </is>
      </c>
      <c r="C5" s="3" t="inlineStr">
        <is>
          <t>状态</t>
        </is>
      </c>
      <c r="D5" s="3" t="inlineStr">
        <is>
          <t>样本/方法数</t>
        </is>
      </c>
      <c r="E5" s="3" t="inlineStr">
        <is>
          <t>关键发现</t>
        </is>
      </c>
      <c r="F5" s="3" t="inlineStr">
        <is>
          <t>Sheet</t>
        </is>
      </c>
    </row>
    <row r="6">
      <c r="A6" s="4" t="n">
        <v>1</v>
      </c>
      <c r="B6" s="5" t="inlineStr">
        <is>
          <t>不同数据处理方法对比</t>
        </is>
      </c>
      <c r="C6" s="6" t="inlineStr">
        <is>
          <t>完成</t>
        </is>
      </c>
      <c r="D6" s="4" t="inlineStr">
        <is>
          <t>10 方法 × 5 bench</t>
        </is>
      </c>
      <c r="E6" s="5" t="inlineStr">
        <is>
          <t>MISD-Sympy-V2 (75.33) 显著优于复现 baselines (50-55)</t>
        </is>
      </c>
      <c r="F6" s="4" t="inlineStr">
        <is>
          <t>#1_Main</t>
        </is>
      </c>
    </row>
    <row r="7">
      <c r="A7" s="4" t="n">
        <v>2</v>
      </c>
      <c r="B7" s="5" t="inlineStr">
        <is>
          <t>三层消融 (Struct/Rewrite/Verify)</t>
        </is>
      </c>
      <c r="C7" s="6" t="inlineStr">
        <is>
          <t>完成</t>
        </is>
      </c>
      <c r="D7" s="4" t="inlineStr">
        <is>
          <t>3 组消融</t>
        </is>
      </c>
      <c r="E7" s="5" t="inlineStr">
        <is>
          <t>去 Rewrite 跌到 62.52，三层都有贡献</t>
        </is>
      </c>
      <c r="F7" s="4" t="inlineStr">
        <is>
          <t>#2_3Pillar</t>
        </is>
      </c>
    </row>
    <row r="8">
      <c r="A8" s="4" t="n">
        <v>3</v>
      </c>
      <c r="B8" s="5" t="inlineStr">
        <is>
          <t>改写规则消融 R1-R5 leave-one-out</t>
        </is>
      </c>
      <c r="C8" s="6" t="inlineStr">
        <is>
          <t>完成</t>
        </is>
      </c>
      <c r="D8" s="4" t="inlineStr">
        <is>
          <t>5 单去除 + 4 组合</t>
        </is>
      </c>
      <c r="E8" s="5" t="inlineStr">
        <is>
          <t>R3 (boxed) 核心；R1/R4/R5 个体贡献为负或可忽略</t>
        </is>
      </c>
      <c r="F8" s="4" t="inlineStr">
        <is>
          <t>#3_Rules</t>
        </is>
      </c>
    </row>
    <row r="9">
      <c r="A9" s="4" t="n">
        <v>4</v>
      </c>
      <c r="B9" s="5" t="inlineStr">
        <is>
          <t>改写后数据质量分析</t>
        </is>
      </c>
      <c r="C9" s="6" t="inlineStr">
        <is>
          <t>完成</t>
        </is>
      </c>
      <c r="D9" s="4" t="inlineStr">
        <is>
          <t>9 数据集结构统计</t>
        </is>
      </c>
      <c r="E9" s="5" t="inlineStr">
        <is>
          <t>MISD 把 boxed 提示 0→100%，其它结构 100% 保留</t>
        </is>
      </c>
      <c r="F9" s="4" t="inlineStr">
        <is>
          <t>#4_Polish</t>
        </is>
      </c>
    </row>
    <row r="10">
      <c r="A10" s="4" t="n">
        <v>5</v>
      </c>
      <c r="B10" s="5" t="inlineStr">
        <is>
          <t>错误类型分析</t>
        </is>
      </c>
      <c r="C10" s="6" t="inlineStr">
        <is>
          <t>完成</t>
        </is>
      </c>
      <c r="D10" s="4" t="inlineStr">
        <is>
          <t>3 模型 × 5 bench</t>
        </is>
      </c>
      <c r="E10" s="5" t="inlineStr">
        <is>
          <t>GRPO 主要修 extraction，不是 reasoning</t>
        </is>
      </c>
      <c r="F10" s="4" t="inlineStr">
        <is>
          <t>#5_Errors</t>
        </is>
      </c>
    </row>
    <row r="11">
      <c r="A11" s="4" t="n">
        <v>6</v>
      </c>
      <c r="B11" s="5" t="inlineStr">
        <is>
          <t>数据规模实验 ⭐</t>
        </is>
      </c>
      <c r="C11" s="6" t="inlineStr">
        <is>
          <t>完成</t>
        </is>
      </c>
      <c r="D11" s="4" t="inlineStr">
        <is>
          <t>1000/2000/3000/4000/4692</t>
        </is>
      </c>
      <c r="E11" s="5" t="inlineStr">
        <is>
          <t>2000 样本 79.70 ≫ V2 全量 4692 (75.33)</t>
        </is>
      </c>
      <c r="F11" s="4" t="inlineStr">
        <is>
          <t>#6_Scaling</t>
        </is>
      </c>
    </row>
    <row r="12">
      <c r="A12" s="4" t="n">
        <v>7</v>
      </c>
      <c r="B12" s="5" t="inlineStr">
        <is>
          <t>GRPO 效果 (拟附录)</t>
        </is>
      </c>
      <c r="C12" s="6" t="inlineStr">
        <is>
          <t>完成</t>
        </is>
      </c>
      <c r="D12" s="4" t="inlineStr">
        <is>
          <t>v1 200步 / v2 800步</t>
        </is>
      </c>
      <c r="E12" s="5" t="inlineStr">
        <is>
          <t>GRPO v1 avg 75.53 与 V2 75.33 持平；GSM8K vs Sanity +3.94</t>
        </is>
      </c>
      <c r="F12" s="4" t="inlineStr">
        <is>
          <t>#7_GRPO</t>
        </is>
      </c>
    </row>
    <row r="15">
      <c r="A15" s="1" t="inlineStr">
        <is>
          <t>三个最重要的发现 (论文 sellable points):</t>
        </is>
      </c>
    </row>
    <row r="16" ht="38" customHeight="1">
      <c r="A16" s="7" t="inlineStr">
        <is>
          <t>1. 2000 样本是甜区，不是 4692</t>
        </is>
      </c>
      <c r="B16" s="8" t="n"/>
      <c r="C16" s="9" t="inlineStr">
        <is>
          <t>Random subset 2000 avg 79.70 &gt; V2 全量 4692 (75.33) — 推翻 "更多 sympy-filtered 数据 = 更好"</t>
        </is>
      </c>
      <c r="D16" s="10" t="n"/>
      <c r="E16" s="10" t="n"/>
      <c r="F16" s="8" t="n"/>
    </row>
    <row r="17" ht="38" customHeight="1">
      <c r="A17" s="7" t="inlineStr">
        <is>
          <t>2. MATH500 随数据量单调下降</t>
        </is>
      </c>
      <c r="B17" s="8" t="n"/>
      <c r="C17" s="9" t="inlineStr">
        <is>
          <t>63.80 → 59.60 → 57.20 → 55.80 → 52.80；多数据让模型拟合简单 WP，牺牲难题</t>
        </is>
      </c>
      <c r="D17" s="10" t="n"/>
      <c r="E17" s="10" t="n"/>
      <c r="F17" s="8" t="n"/>
    </row>
    <row r="18" ht="38" customHeight="1">
      <c r="A18" s="7" t="inlineStr">
        <is>
          <t>3. R3 (boxed 提示) 是 Rewrite 的主要贡献</t>
        </is>
      </c>
      <c r="B18" s="8" t="n"/>
      <c r="C18" s="9" t="inlineStr">
        <is>
          <t>去 R3：avg 68.36；保留 R3+R2：70.65；R1/R4/R5 个体可去除</t>
        </is>
      </c>
      <c r="D18" s="10" t="n"/>
      <c r="E18" s="10" t="n"/>
      <c r="F18" s="8" t="n"/>
    </row>
    <row r="20">
      <c r="A20" s="1" t="inlineStr">
        <is>
          <t>Baseline 来源标注（重要 — 避免投稿误会）:</t>
        </is>
      </c>
    </row>
    <row r="21" ht="38" customHeight="1">
      <c r="A21" s="7" t="inlineStr">
        <is>
          <t>复现别人论文方法 (5 个)</t>
        </is>
      </c>
      <c r="B21" s="8" t="n"/>
      <c r="C21" s="9" t="inlineStr">
        <is>
          <t>LIMA / IFD / SuperFiltering / DEITA / Cherry — 按原论文方法在我们的 5000 数学题上选 4000 子集训练</t>
        </is>
      </c>
      <c r="D21" s="10" t="n"/>
      <c r="E21" s="10" t="n"/>
      <c r="F21" s="8" t="n"/>
    </row>
    <row r="22" ht="38" customHeight="1">
      <c r="A22" s="7" t="inlineStr">
        <is>
          <t>我们内部对照组 (3 个)</t>
        </is>
      </c>
      <c r="B22" s="8" t="n"/>
      <c r="C22" s="9" t="inlineStr">
        <is>
          <t>Raw + boxed = 原 5000 题仅加 \boxed{} 后缀；Sanity = 让 Claude 把每题全文重写；Random 4k = 随机抽 4000。这 3 个不是论文方法，是控制变量用的内部 baseline</t>
        </is>
      </c>
      <c r="D22" s="10" t="n"/>
      <c r="E22" s="10" t="n"/>
      <c r="F22" s="8" t="n"/>
    </row>
    <row r="23" ht="38" customHeight="1">
      <c r="A23" s="7" t="inlineStr">
        <is>
          <t>本工作 (MISD 系列)</t>
        </is>
      </c>
      <c r="B23" s="8" t="n"/>
      <c r="C23" s="9" t="inlineStr">
        <is>
          <t>MISD-Sympy-V2 (SFT) + MISD + GRPO v1 (附录)</t>
        </is>
      </c>
      <c r="D23" s="10" t="n"/>
      <c r="E23" s="10" t="n"/>
      <c r="F23" s="8" t="n"/>
    </row>
    <row r="25" ht="34" customHeight="1">
      <c r="A25" s="51" t="inlineStr">
        <is>
          <t>🔰 第一次看？先读这两张表：『① 配置词典』(每个配置名是什么) + 『② 术语·评测集』(术语和9个评测集)。每张实验表底部也有『配置详解』。</t>
        </is>
      </c>
    </row>
  </sheetData>
  <mergeCells count="18">
    <mergeCell ref="C22:F22"/>
    <mergeCell ref="A2:F2"/>
    <mergeCell ref="C18:F18"/>
    <mergeCell ref="A21:B21"/>
    <mergeCell ref="A16:B16"/>
    <mergeCell ref="C17:F17"/>
    <mergeCell ref="C23:F23"/>
    <mergeCell ref="A1:F1"/>
    <mergeCell ref="A23:B23"/>
    <mergeCell ref="C21:F21"/>
    <mergeCell ref="C16:F16"/>
    <mergeCell ref="A18:B18"/>
    <mergeCell ref="A17:B17"/>
    <mergeCell ref="A3:F3"/>
    <mergeCell ref="A20:F20"/>
    <mergeCell ref="A15:F15"/>
    <mergeCell ref="A22:B22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50" customWidth="1" min="4" max="4"/>
    <col width="30" customWidth="1" min="5" max="5"/>
    <col width="14" customWidth="1" min="6" max="6"/>
  </cols>
  <sheetData>
    <row r="1">
      <c r="A1" s="1" t="inlineStr">
        <is>
          <t>① 配置词典 —— 本表定义工作簿里出现的每一个配置名（给第一次看的人）</t>
        </is>
      </c>
    </row>
    <row r="2" ht="30" customHeight="1">
      <c r="A2" s="2" t="inlineStr">
        <is>
          <t>全工作簿统一设定：基模 = Qwen2.5-3B；训练 = LoRA 微调 (r=16, α=32, 学习率1e-4, 3轮)；评测 = vLLM 推理, temperature=0, 0-shot, 答案要求写进 \boxed{}。所有方法这些都一样，只有【训练数据】不同。</t>
        </is>
      </c>
    </row>
    <row r="4">
      <c r="A4" s="28" t="inlineStr">
        <is>
          <t>A. 原始数据 &amp; 内部对照组（我们自己造的，不是别人论文的方法）</t>
        </is>
      </c>
      <c r="B4" s="10" t="n"/>
      <c r="C4" s="10" t="n"/>
      <c r="D4" s="10" t="n"/>
      <c r="E4" s="10" t="n"/>
      <c r="F4" s="8" t="n"/>
    </row>
    <row r="5">
      <c r="A5" s="24" t="inlineStr">
        <is>
          <t>配置名（表里出现的写法）</t>
        </is>
      </c>
      <c r="B5" s="24" t="inlineStr">
        <is>
          <t>全称 / 类别</t>
        </is>
      </c>
      <c r="C5" s="24" t="inlineStr">
        <is>
          <t>训练样本数</t>
        </is>
      </c>
      <c r="D5" s="24" t="inlineStr">
        <is>
          <t>这份数据是怎么来的（大白话）</t>
        </is>
      </c>
      <c r="E5" s="24" t="inlineStr">
        <is>
          <t>和别人的关键区别</t>
        </is>
      </c>
      <c r="F5" s="24" t="inlineStr">
        <is>
          <t>出现在</t>
        </is>
      </c>
    </row>
    <row r="6" ht="46" customHeight="1">
      <c r="A6" s="12" t="inlineStr">
        <is>
          <t>Raw 5000 / Raw 原始</t>
        </is>
      </c>
      <c r="B6" s="5" t="inlineStr">
        <is>
          <t>原始数学题</t>
        </is>
      </c>
      <c r="C6" s="27" t="inlineStr">
        <is>
          <t>4998</t>
        </is>
      </c>
      <c r="D6" s="5" t="inlineStr">
        <is>
          <t>网上收集的 5000 道英文数学题（MATH/GSM 风格），未做任何处理。</t>
        </is>
      </c>
      <c r="E6" s="5" t="inlineStr">
        <is>
          <t>基准起点，什么都没改。</t>
        </is>
      </c>
      <c r="F6" s="27" t="inlineStr">
        <is>
          <t>#4</t>
        </is>
      </c>
    </row>
    <row r="7" ht="46" customHeight="1">
      <c r="A7" s="12" t="inlineStr">
        <is>
          <t>Raw + boxed</t>
        </is>
      </c>
      <c r="B7" s="5" t="inlineStr">
        <is>
          <t>原始题 + 格式后缀</t>
        </is>
      </c>
      <c r="C7" s="27" t="inlineStr">
        <is>
          <t>4998</t>
        </is>
      </c>
      <c r="D7" s="5" t="inlineStr">
        <is>
          <t>在每道原始题末尾机械地加一句『把答案写进 \boxed{}』，不改内容。</t>
        </is>
      </c>
      <c r="E7" s="5" t="inlineStr">
        <is>
          <t>只控制『格式』这一个变量，内容没动。</t>
        </is>
      </c>
      <c r="F7" s="27" t="inlineStr">
        <is>
          <t>#1 #4</t>
        </is>
      </c>
    </row>
    <row r="8" ht="46" customHeight="1">
      <c r="A8" s="20" t="inlineStr">
        <is>
          <t>Sanity</t>
        </is>
      </c>
      <c r="B8" s="39" t="inlineStr">
        <is>
          <t>Claude 全文重写（无规则、无过滤）</t>
        </is>
      </c>
      <c r="C8" s="32" t="inlineStr">
        <is>
          <t>4998</t>
        </is>
      </c>
      <c r="D8" s="39" t="inlineStr">
        <is>
          <t>让 Claude 把每道题整体重写得更通顺，但不按任何结构规则、也不做答案验证。</t>
        </is>
      </c>
      <c r="E8" s="39" t="inlineStr">
        <is>
          <t>代表『直接让大模型重写』这种最朴素做法。</t>
        </is>
      </c>
      <c r="F8" s="32" t="inlineStr">
        <is>
          <t>#1 #2 #7 #8 #9</t>
        </is>
      </c>
    </row>
    <row r="9" ht="46" customHeight="1">
      <c r="A9" s="12" t="inlineStr">
        <is>
          <t>Random 4k</t>
        </is>
      </c>
      <c r="B9" s="5" t="inlineStr">
        <is>
          <t>随机抽样</t>
        </is>
      </c>
      <c r="C9" s="27" t="inlineStr">
        <is>
          <t>4000</t>
        </is>
      </c>
      <c r="D9" s="5" t="inlineStr">
        <is>
          <t>从 5000 题里随机抽 4000 道，不做任何挑选。</t>
        </is>
      </c>
      <c r="E9" s="5" t="inlineStr">
        <is>
          <t>证明『挑选』是否比『瞎抽』强的对照。</t>
        </is>
      </c>
      <c r="F9" s="27" t="inlineStr">
        <is>
          <t>#1</t>
        </is>
      </c>
    </row>
    <row r="10">
      <c r="A10" s="28" t="inlineStr">
        <is>
          <t>B. 复现别人论文的数据选择方法（2023 年代的通用方法，作为 baseline）</t>
        </is>
      </c>
      <c r="B10" s="10" t="n"/>
      <c r="C10" s="10" t="n"/>
      <c r="D10" s="10" t="n"/>
      <c r="E10" s="10" t="n"/>
      <c r="F10" s="8" t="n"/>
    </row>
    <row r="11">
      <c r="A11" s="24" t="inlineStr">
        <is>
          <t>配置名（表里出现的写法）</t>
        </is>
      </c>
      <c r="B11" s="24" t="inlineStr">
        <is>
          <t>全称 / 类别</t>
        </is>
      </c>
      <c r="C11" s="24" t="inlineStr">
        <is>
          <t>训练样本数</t>
        </is>
      </c>
      <c r="D11" s="24" t="inlineStr">
        <is>
          <t>这份数据是怎么来的（大白话）</t>
        </is>
      </c>
      <c r="E11" s="24" t="inlineStr">
        <is>
          <t>和别人的关键区别</t>
        </is>
      </c>
      <c r="F11" s="24" t="inlineStr">
        <is>
          <t>出现在</t>
        </is>
      </c>
    </row>
    <row r="12" ht="46" customHeight="1">
      <c r="A12" s="22" t="inlineStr">
        <is>
          <t>LIMA</t>
        </is>
      </c>
      <c r="B12" s="40" t="inlineStr">
        <is>
          <t>复现：LIMA 选样法</t>
        </is>
      </c>
      <c r="C12" s="41" t="inlineStr">
        <is>
          <t>4000</t>
        </is>
      </c>
      <c r="D12" s="40" t="inlineStr">
        <is>
          <t>按 LIMA 论文思路挑『质量高』的样本（少而精）。</t>
        </is>
      </c>
      <c r="E12" s="40" t="inlineStr">
        <is>
          <t>通用对话数据选择，不针对数学。</t>
        </is>
      </c>
      <c r="F12" s="41" t="inlineStr">
        <is>
          <t>#1</t>
        </is>
      </c>
    </row>
    <row r="13" ht="46" customHeight="1">
      <c r="A13" s="22" t="inlineStr">
        <is>
          <t>IFD</t>
        </is>
      </c>
      <c r="B13" s="40" t="inlineStr">
        <is>
          <t>复现：Instruction-Following Difficulty</t>
        </is>
      </c>
      <c r="C13" s="41" t="inlineStr">
        <is>
          <t>4000</t>
        </is>
      </c>
      <c r="D13" s="40" t="inlineStr">
        <is>
          <t>按『指令跟随难度』打分挑样本。</t>
        </is>
      </c>
      <c r="E13" s="40" t="inlineStr">
        <is>
          <t>通用方法，2024 NAACL。</t>
        </is>
      </c>
      <c r="F13" s="41" t="inlineStr">
        <is>
          <t>#1</t>
        </is>
      </c>
    </row>
    <row r="14" ht="46" customHeight="1">
      <c r="A14" s="22" t="inlineStr">
        <is>
          <t>SuperFiltering</t>
        </is>
      </c>
      <c r="B14" s="40" t="inlineStr">
        <is>
          <t>复现：SuperFiltering</t>
        </is>
      </c>
      <c r="C14" s="41" t="inlineStr">
        <is>
          <t>4000</t>
        </is>
      </c>
      <c r="D14" s="40" t="inlineStr">
        <is>
          <t>用小模型的困惑度(perplexity)给样本打分后挑选。</t>
        </is>
      </c>
      <c r="E14" s="40" t="inlineStr">
        <is>
          <t>通用方法，2024 ACL。</t>
        </is>
      </c>
      <c r="F14" s="41" t="inlineStr">
        <is>
          <t>#1</t>
        </is>
      </c>
    </row>
    <row r="15" ht="46" customHeight="1">
      <c r="A15" s="22" t="inlineStr">
        <is>
          <t>DEITA</t>
        </is>
      </c>
      <c r="B15" s="40" t="inlineStr">
        <is>
          <t>复现：DEITA</t>
        </is>
      </c>
      <c r="C15" s="41" t="inlineStr">
        <is>
          <t>4000</t>
        </is>
      </c>
      <c r="D15" s="40" t="inlineStr">
        <is>
          <t>综合『复杂度+质量+多样性』三项打分挑选。</t>
        </is>
      </c>
      <c r="E15" s="40" t="inlineStr">
        <is>
          <t>通用方法，2024 ICLR。</t>
        </is>
      </c>
      <c r="F15" s="41" t="inlineStr">
        <is>
          <t>#1</t>
        </is>
      </c>
    </row>
    <row r="16" ht="46" customHeight="1">
      <c r="A16" s="22" t="inlineStr">
        <is>
          <t>Cherry</t>
        </is>
      </c>
      <c r="B16" s="40" t="inlineStr">
        <is>
          <t>复现：Cherry / cherry-pick</t>
        </is>
      </c>
      <c r="C16" s="41" t="inlineStr">
        <is>
          <t>4000</t>
        </is>
      </c>
      <c r="D16" s="40" t="inlineStr">
        <is>
          <t>用一个小模型挑出『最有价值』的样本。</t>
        </is>
      </c>
      <c r="E16" s="40" t="inlineStr">
        <is>
          <t>通用方法。</t>
        </is>
      </c>
      <c r="F16" s="41" t="inlineStr">
        <is>
          <t>#1</t>
        </is>
      </c>
    </row>
    <row r="17">
      <c r="A17" s="28" t="inlineStr">
        <is>
          <t>C. MISD（本工作）核心配置</t>
        </is>
      </c>
      <c r="B17" s="10" t="n"/>
      <c r="C17" s="10" t="n"/>
      <c r="D17" s="10" t="n"/>
      <c r="E17" s="10" t="n"/>
      <c r="F17" s="8" t="n"/>
    </row>
    <row r="18">
      <c r="A18" s="24" t="inlineStr">
        <is>
          <t>配置名（表里出现的写法）</t>
        </is>
      </c>
      <c r="B18" s="24" t="inlineStr">
        <is>
          <t>全称 / 类别</t>
        </is>
      </c>
      <c r="C18" s="24" t="inlineStr">
        <is>
          <t>训练样本数</t>
        </is>
      </c>
      <c r="D18" s="24" t="inlineStr">
        <is>
          <t>这份数据是怎么来的（大白话）</t>
        </is>
      </c>
      <c r="E18" s="24" t="inlineStr">
        <is>
          <t>和别人的关键区别</t>
        </is>
      </c>
      <c r="F18" s="24" t="inlineStr">
        <is>
          <t>出现在</t>
        </is>
      </c>
    </row>
    <row r="19" ht="46" customHeight="1">
      <c r="A19" s="21" t="inlineStr">
        <is>
          <t>MISD-Sympy-V2 / V2</t>
        </is>
      </c>
      <c r="B19" s="42" t="inlineStr">
        <is>
          <t>完整 MISD（三层全开）</t>
        </is>
      </c>
      <c r="C19" s="43" t="inlineStr">
        <is>
          <t>4692</t>
        </is>
      </c>
      <c r="D19" s="42" t="inlineStr">
        <is>
          <t>Structure 给题打标签 → Rewrite 按 R1-R5 加料 → Verify 用 S1-S5 检查+SymPy 验答案，5000→4998→踢掉306条→4692。</t>
        </is>
      </c>
      <c r="E19" s="42" t="inlineStr">
        <is>
          <t>本工作的主方法，三层流水线全开。</t>
        </is>
      </c>
      <c r="F19" s="43" t="inlineStr">
        <is>
          <t>#1 #2 #3 #6 #7 #8 #9</t>
        </is>
      </c>
    </row>
    <row r="20" ht="46" customHeight="1">
      <c r="A20" s="21" t="inlineStr">
        <is>
          <t>MISD + GRPO v1/v2</t>
        </is>
      </c>
      <c r="B20" s="42" t="inlineStr">
        <is>
          <t>V2 之上再做强化学习</t>
        </is>
      </c>
      <c r="C20" s="43" t="inlineStr">
        <is>
          <t>4692</t>
        </is>
      </c>
      <c r="D20" s="42" t="inlineStr">
        <is>
          <t>先得到 V2 的模型，再用 SymPy 对错当奖励做 GRPO 强化学习（v1=200步, v2=800步）。</t>
        </is>
      </c>
      <c r="E20" s="42" t="inlineStr">
        <is>
          <t>在 V2 基础上加 RL，建议放论文附录。</t>
        </is>
      </c>
      <c r="F20" s="43" t="inlineStr">
        <is>
          <t>#1 #7</t>
        </is>
      </c>
    </row>
    <row r="21">
      <c r="A21" s="28" t="inlineStr">
        <is>
          <t>D. 消融配置（为拆解 MISD 各部分贡献而造的变体）</t>
        </is>
      </c>
      <c r="B21" s="10" t="n"/>
      <c r="C21" s="10" t="n"/>
      <c r="D21" s="10" t="n"/>
      <c r="E21" s="10" t="n"/>
      <c r="F21" s="8" t="n"/>
    </row>
    <row r="22">
      <c r="A22" s="24" t="inlineStr">
        <is>
          <t>配置名（表里出现的写法）</t>
        </is>
      </c>
      <c r="B22" s="24" t="inlineStr">
        <is>
          <t>全称 / 类别</t>
        </is>
      </c>
      <c r="C22" s="24" t="inlineStr">
        <is>
          <t>训练样本数</t>
        </is>
      </c>
      <c r="D22" s="24" t="inlineStr">
        <is>
          <t>这份数据是怎么来的（大白话）</t>
        </is>
      </c>
      <c r="E22" s="24" t="inlineStr">
        <is>
          <t>和别人的关键区别</t>
        </is>
      </c>
      <c r="F22" s="24" t="inlineStr">
        <is>
          <t>出现在</t>
        </is>
      </c>
    </row>
    <row r="23" ht="46" customHeight="1">
      <c r="A23" s="12" t="inlineStr">
        <is>
          <t>P3+P4 only / -Verify / Base</t>
        </is>
      </c>
      <c r="B23" s="5" t="inlineStr">
        <is>
          <t>去掉 Verify 层（不做 SymPy 过滤）</t>
        </is>
      </c>
      <c r="C23" s="27" t="inlineStr">
        <is>
          <t>4998</t>
        </is>
      </c>
      <c r="D23" s="5" t="inlineStr">
        <is>
          <t>Structure + Rewrite(R1-R5) 都做，但【不】用 SymPy 验答案、不踢任何样本。</t>
        </is>
      </c>
      <c r="E23" s="5">
        <f> V2 少了『过滤』这一步。也是 #3 规则消融的基线。</f>
        <v/>
      </c>
      <c r="F23" s="27" t="inlineStr">
        <is>
          <t>#2 #3</t>
        </is>
      </c>
    </row>
    <row r="24" ht="46" customHeight="1">
      <c r="A24" s="12" t="inlineStr">
        <is>
          <t>-Rewrite</t>
        </is>
      </c>
      <c r="B24" s="5" t="inlineStr">
        <is>
          <t>去掉 Rewrite 层</t>
        </is>
      </c>
      <c r="C24" s="27" t="inlineStr">
        <is>
          <t>4585</t>
        </is>
      </c>
      <c r="D24" s="5" t="inlineStr">
        <is>
          <t>只保留 Structure + Verify，【不】按 R1-R5 改写题目。</t>
        </is>
      </c>
      <c r="E24" s="5">
        <f> V2 少了『改写』这一步。</f>
        <v/>
      </c>
      <c r="F24" s="27" t="inlineStr">
        <is>
          <t>#2</t>
        </is>
      </c>
    </row>
    <row r="25" ht="46" customHeight="1">
      <c r="A25" s="12" t="inlineStr">
        <is>
          <t>-Structure</t>
        </is>
      </c>
      <c r="B25" s="5" t="inlineStr">
        <is>
          <t>去掉 Structure 层</t>
        </is>
      </c>
      <c r="C25" s="27" t="inlineStr">
        <is>
          <t>4351</t>
        </is>
      </c>
      <c r="D25" s="5" t="inlineStr">
        <is>
          <t>不先给题打标签，直接对所有题强行套用 R1-R5。</t>
        </is>
      </c>
      <c r="E25" s="5">
        <f> V2 少了『先判断题型』这一步，导致乱加料。</f>
        <v/>
      </c>
      <c r="F25" s="27" t="inlineStr">
        <is>
          <t>#2</t>
        </is>
      </c>
    </row>
    <row r="26" ht="46" customHeight="1">
      <c r="A26" s="12" t="inlineStr">
        <is>
          <t>−R1 / −R2 / −R3 / −R4 / −R5</t>
        </is>
      </c>
      <c r="B26" s="5" t="inlineStr">
        <is>
          <t>逐条去掉一条改写规则</t>
        </is>
      </c>
      <c r="C26" s="27" t="inlineStr">
        <is>
          <t>4998</t>
        </is>
      </c>
      <c r="D26" s="5" t="inlineStr">
        <is>
          <t>在 Base(R1-R5全开) 基础上，每次只去掉其中一条规则，看少了它掉多少分。</t>
        </is>
      </c>
      <c r="E26" s="5" t="inlineStr">
        <is>
          <t>leave-one-out，定位每条规则的贡献。</t>
        </is>
      </c>
      <c r="F26" s="27" t="inlineStr">
        <is>
          <t>#3</t>
        </is>
      </c>
    </row>
    <row r="27" ht="46" customHeight="1">
      <c r="A27" s="12" t="inlineStr">
        <is>
          <t>Only R2+R3</t>
        </is>
      </c>
      <c r="B27" s="5" t="inlineStr">
        <is>
          <t>只保留 R2、R3 两条规则</t>
        </is>
      </c>
      <c r="C27" s="27" t="inlineStr">
        <is>
          <t>4998</t>
        </is>
      </c>
      <c r="D27" s="5" t="inlineStr">
        <is>
          <t>只做 R2(加单位)+R3(加boxed提示)，去掉 R1/R4/R5。</t>
        </is>
      </c>
      <c r="E27" s="5" t="inlineStr">
        <is>
          <t>测试『极简改写』是否够用。</t>
        </is>
      </c>
      <c r="F27" s="27" t="inlineStr">
        <is>
          <t>#3</t>
        </is>
      </c>
    </row>
    <row r="28" ht="46" customHeight="1">
      <c r="A28" s="12" t="inlineStr">
        <is>
          <t>−R4 + SymPy</t>
        </is>
      </c>
      <c r="B28" s="5" t="inlineStr">
        <is>
          <t>去 R4 再加过滤</t>
        </is>
      </c>
      <c r="C28" s="27" t="inlineStr">
        <is>
          <t>4458</t>
        </is>
      </c>
      <c r="D28" s="5" t="inlineStr">
        <is>
          <t>去掉 R4(正整数声明) 后，再加 SymPy 过滤。</t>
        </is>
      </c>
      <c r="E28" s="5" t="inlineStr">
        <is>
          <t>组合消融。</t>
        </is>
      </c>
      <c r="F28" s="27" t="inlineStr">
        <is>
          <t>#3</t>
        </is>
      </c>
    </row>
    <row r="29" ht="46" customHeight="1">
      <c r="A29" s="12" t="inlineStr">
        <is>
          <t>Selective</t>
        </is>
      </c>
      <c r="B29" s="5" t="inlineStr">
        <is>
          <t>选择性套规则</t>
        </is>
      </c>
      <c r="C29" s="27" t="inlineStr">
        <is>
          <t>4998</t>
        </is>
      </c>
      <c r="D29" s="5" t="inlineStr">
        <is>
          <t>词题走简化路径、形式题走完整 R1-R5。</t>
        </is>
      </c>
      <c r="E29" s="5" t="inlineStr">
        <is>
          <t>测试『分流处理』。</t>
        </is>
      </c>
      <c r="F29" s="27" t="inlineStr">
        <is>
          <t>#3</t>
        </is>
      </c>
    </row>
    <row r="30" ht="46" customHeight="1">
      <c r="A30" s="12" t="inlineStr">
        <is>
          <t>Augment</t>
        </is>
      </c>
      <c r="B30" s="5" t="inlineStr">
        <is>
          <t>R2+R3 增强版</t>
        </is>
      </c>
      <c r="C30" s="27" t="inlineStr">
        <is>
          <t>8121</t>
        </is>
      </c>
      <c r="D30" s="5" t="inlineStr">
        <is>
          <t>在 R2+R3 基础上为每题生成多个变体，数据翻倍。</t>
        </is>
      </c>
      <c r="E30" s="5" t="inlineStr">
        <is>
          <t>测试『数据增多』是否有用。</t>
        </is>
      </c>
      <c r="F30" s="27" t="inlineStr">
        <is>
          <t>#3</t>
        </is>
      </c>
    </row>
    <row r="31">
      <c r="A31" s="28" t="inlineStr">
        <is>
          <t>E. 数据规模实验配置（#6）</t>
        </is>
      </c>
      <c r="B31" s="10" t="n"/>
      <c r="C31" s="10" t="n"/>
      <c r="D31" s="10" t="n"/>
      <c r="E31" s="10" t="n"/>
      <c r="F31" s="8" t="n"/>
    </row>
    <row r="32">
      <c r="A32" s="24" t="inlineStr">
        <is>
          <t>配置名（表里出现的写法）</t>
        </is>
      </c>
      <c r="B32" s="24" t="inlineStr">
        <is>
          <t>全称 / 类别</t>
        </is>
      </c>
      <c r="C32" s="24" t="inlineStr">
        <is>
          <t>训练样本数</t>
        </is>
      </c>
      <c r="D32" s="24" t="inlineStr">
        <is>
          <t>这份数据是怎么来的（大白话）</t>
        </is>
      </c>
      <c r="E32" s="24" t="inlineStr">
        <is>
          <t>和别人的关键区别</t>
        </is>
      </c>
      <c r="F32" s="24" t="inlineStr">
        <is>
          <t>出现在</t>
        </is>
      </c>
    </row>
    <row r="33" ht="46" customHeight="1">
      <c r="A33" s="12" t="inlineStr">
        <is>
          <t>scale_1000 / 2000 / 3000 / 4000</t>
        </is>
      </c>
      <c r="B33" s="5" t="inlineStr">
        <is>
          <t>V2 数据的随机子集</t>
        </is>
      </c>
      <c r="C33" s="27" t="inlineStr">
        <is>
          <t>1000~4000</t>
        </is>
      </c>
      <c r="D33" s="5" t="inlineStr">
        <is>
          <t>从 V2 的 4692 条里随机抽 1000/2000/3000/4000 条来训练。</t>
        </is>
      </c>
      <c r="E33" s="5" t="inlineStr">
        <is>
          <t>测试『训练数据多少』对效果的影响。</t>
        </is>
      </c>
      <c r="F33" s="27" t="inlineStr">
        <is>
          <t>#6</t>
        </is>
      </c>
    </row>
  </sheetData>
  <mergeCells count="7">
    <mergeCell ref="A2:F2"/>
    <mergeCell ref="A10:F10"/>
    <mergeCell ref="A1:F1"/>
    <mergeCell ref="A31:F31"/>
    <mergeCell ref="A17:F17"/>
    <mergeCell ref="A4:F4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18" customWidth="1" min="4" max="4"/>
  </cols>
  <sheetData>
    <row r="1">
      <c r="A1" s="1" t="inlineStr">
        <is>
          <t>② 术语表 &amp; 9 个评测集说明</t>
        </is>
      </c>
    </row>
    <row r="3">
      <c r="A3" s="28" t="inlineStr">
        <is>
          <t>MISD 三层流水线（方法本身）</t>
        </is>
      </c>
      <c r="B3" s="10" t="n"/>
      <c r="C3" s="10" t="n"/>
      <c r="D3" s="8" t="n"/>
    </row>
    <row r="4">
      <c r="A4" s="24" t="inlineStr">
        <is>
          <t>层 / 规则</t>
        </is>
      </c>
      <c r="B4" s="24" t="inlineStr">
        <is>
          <t>做什么</t>
        </is>
      </c>
      <c r="C4" s="24" t="inlineStr">
        <is>
          <t>触发条件</t>
        </is>
      </c>
      <c r="D4" s="24" t="inlineStr">
        <is>
          <t>备注</t>
        </is>
      </c>
    </row>
    <row r="5" ht="30" customHeight="1">
      <c r="A5" s="12" t="inlineStr">
        <is>
          <t>第1层 Structure</t>
        </is>
      </c>
      <c r="B5" s="5" t="inlineStr">
        <is>
          <t>给每道题打 6 维标签(背景/条件/问题类型/格式要求/有无图/是否选择题)</t>
        </is>
      </c>
      <c r="C5" s="27" t="inlineStr">
        <is>
          <t>每题都做</t>
        </is>
      </c>
      <c r="D5" s="5" t="inlineStr">
        <is>
          <t>决定后面触发哪条改写规则</t>
        </is>
      </c>
    </row>
    <row r="6" ht="30" customHeight="1">
      <c r="A6" s="12" t="inlineStr">
        <is>
          <t>第2层 Rewrite</t>
        </is>
      </c>
      <c r="B6" s="5" t="inlineStr">
        <is>
          <t>按标签给题『加料』，共 5 条规则 R1-R5</t>
        </is>
      </c>
      <c r="C6" s="27" t="inlineStr">
        <is>
          <t>按标签触发</t>
        </is>
      </c>
      <c r="D6" s="5" t="inlineStr">
        <is>
          <t>见下方 R1-R5</t>
        </is>
      </c>
    </row>
    <row r="7" ht="30" customHeight="1">
      <c r="A7" s="12" t="inlineStr">
        <is>
          <t xml:space="preserve">  R1</t>
        </is>
      </c>
      <c r="B7" s="5" t="inlineStr">
        <is>
          <t>给图(asy代码)加文字说明</t>
        </is>
      </c>
      <c r="C7" s="27" t="inlineStr">
        <is>
          <t>题里有图</t>
        </is>
      </c>
      <c r="D7" s="5" t="inlineStr">
        <is>
          <t>英文模板</t>
        </is>
      </c>
    </row>
    <row r="8" ht="30" customHeight="1">
      <c r="A8" s="12" t="inlineStr">
        <is>
          <t xml:space="preserve">  R2</t>
        </is>
      </c>
      <c r="B8" s="5" t="inlineStr">
        <is>
          <t>给数量加单位标注</t>
        </is>
      </c>
      <c r="C8" s="27" t="inlineStr">
        <is>
          <t>检测到单位</t>
        </is>
      </c>
      <c r="D8" s="5" t="inlineStr">
        <is>
          <t>英文模板</t>
        </is>
      </c>
    </row>
    <row r="9" ht="30" customHeight="1">
      <c r="A9" s="12" t="inlineStr">
        <is>
          <t xml:space="preserve">  R3 ★</t>
        </is>
      </c>
      <c r="B9" s="5" t="inlineStr">
        <is>
          <t>末尾加『把答案写进 \boxed{}』提示</t>
        </is>
      </c>
      <c r="C9" s="27" t="inlineStr">
        <is>
          <t>求值题且原题没boxed</t>
        </is>
      </c>
      <c r="D9" s="5" t="inlineStr">
        <is>
          <t>5条里唯一明显有用的；但也是最吃英文格式的</t>
        </is>
      </c>
    </row>
    <row r="10" ht="30" customHeight="1">
      <c r="A10" s="12" t="inlineStr">
        <is>
          <t xml:space="preserve">  R4</t>
        </is>
      </c>
      <c r="B10" s="5" t="inlineStr">
        <is>
          <t>声明变量为正整数</t>
        </is>
      </c>
      <c r="C10" s="27" t="inlineStr">
        <is>
          <t>题里有变量</t>
        </is>
      </c>
      <c r="D10" s="5" t="inlineStr">
        <is>
          <t>英文模板</t>
        </is>
      </c>
    </row>
    <row r="11" ht="30" customHeight="1">
      <c r="A11" s="12" t="inlineStr">
        <is>
          <t xml:space="preserve">  R5</t>
        </is>
      </c>
      <c r="B11" s="5" t="inlineStr">
        <is>
          <t>把超长 LaTeX 拆成中间变量</t>
        </is>
      </c>
      <c r="C11" s="27" t="inlineStr">
        <is>
          <t>有长公式</t>
        </is>
      </c>
      <c r="D11" s="5" t="inlineStr">
        <is>
          <t>英文模板</t>
        </is>
      </c>
    </row>
    <row r="12" ht="30" customHeight="1">
      <c r="A12" s="12" t="inlineStr">
        <is>
          <t>第3层 Verify-1 (S1-S5)</t>
        </is>
      </c>
      <c r="B12" s="5" t="inlineStr">
        <is>
          <t>安全检查：改写有没有破坏 LaTeX/变量/数字/格式/选项，坏了就回滚</t>
        </is>
      </c>
      <c r="C12" s="27" t="inlineStr">
        <is>
          <t>改写后逐条查</t>
        </is>
      </c>
      <c r="D12" s="5" t="inlineStr">
        <is>
          <t>保证只增强不破坏</t>
        </is>
      </c>
    </row>
    <row r="13" ht="30" customHeight="1">
      <c r="A13" s="12" t="inlineStr">
        <is>
          <t>第3层 Verify-2 (SymPy)</t>
        </is>
      </c>
      <c r="B13" s="5" t="inlineStr">
        <is>
          <t>用7B模型分别解原题和改后题，SymPy验答案是否等价，不等就丢弃该样本</t>
        </is>
      </c>
      <c r="C13" s="27" t="inlineStr">
        <is>
          <t>全部样本</t>
        </is>
      </c>
      <c r="D13" s="5" t="inlineStr">
        <is>
          <t>5000→4998→4692，踢掉306条</t>
        </is>
      </c>
    </row>
    <row r="15">
      <c r="A15" s="28" t="inlineStr">
        <is>
          <t>9 个评测集（衡量训练出的模型好不好）</t>
        </is>
      </c>
      <c r="B15" s="10" t="n"/>
      <c r="C15" s="10" t="n"/>
      <c r="D15" s="8" t="n"/>
    </row>
    <row r="16">
      <c r="A16" s="24" t="inlineStr">
        <is>
          <t>评测集</t>
        </is>
      </c>
      <c r="B16" s="24" t="inlineStr">
        <is>
          <t>题数</t>
        </is>
      </c>
      <c r="C16" s="24" t="inlineStr">
        <is>
          <t>考什么</t>
        </is>
      </c>
      <c r="D16" s="24" t="inlineStr">
        <is>
          <t>属于</t>
        </is>
      </c>
    </row>
    <row r="17" ht="26" customHeight="1">
      <c r="A17" s="12" t="inlineStr">
        <is>
          <t>SVAMP</t>
        </is>
      </c>
      <c r="B17" s="27" t="inlineStr">
        <is>
          <t>1000</t>
        </is>
      </c>
      <c r="C17" s="5" t="inlineStr">
        <is>
          <t>小学算术应用题（故意做了变体测稳健性）</t>
        </is>
      </c>
      <c r="D17" s="27" t="inlineStr">
        <is>
          <t>in-domain 训练分布内</t>
        </is>
      </c>
    </row>
    <row r="18" ht="26" customHeight="1">
      <c r="A18" s="12" t="inlineStr">
        <is>
          <t>ASDiv</t>
        </is>
      </c>
      <c r="B18" s="27" t="inlineStr">
        <is>
          <t>701</t>
        </is>
      </c>
      <c r="C18" s="5" t="inlineStr">
        <is>
          <t>多样化小学应用题</t>
        </is>
      </c>
      <c r="D18" s="27" t="inlineStr">
        <is>
          <t>in-domain</t>
        </is>
      </c>
    </row>
    <row r="19" ht="26" customHeight="1">
      <c r="A19" s="12" t="inlineStr">
        <is>
          <t>AddSub</t>
        </is>
      </c>
      <c r="B19" s="27" t="inlineStr">
        <is>
          <t>395</t>
        </is>
      </c>
      <c r="C19" s="5" t="inlineStr">
        <is>
          <t>加减法应用题</t>
        </is>
      </c>
      <c r="D19" s="27" t="inlineStr">
        <is>
          <t>in-domain</t>
        </is>
      </c>
    </row>
    <row r="20" ht="26" customHeight="1">
      <c r="A20" s="12" t="inlineStr">
        <is>
          <t>MATH500</t>
        </is>
      </c>
      <c r="B20" s="27" t="inlineStr">
        <is>
          <t>500</t>
        </is>
      </c>
      <c r="C20" s="5" t="inlineStr">
        <is>
          <t>竞赛级数学（代数/几何/数论等7类），最难</t>
        </is>
      </c>
      <c r="D20" s="27" t="inlineStr">
        <is>
          <t>in-domain（难题）</t>
        </is>
      </c>
    </row>
    <row r="21" ht="26" customHeight="1">
      <c r="A21" s="12" t="inlineStr">
        <is>
          <t>GSM8K</t>
        </is>
      </c>
      <c r="B21" s="27" t="inlineStr">
        <is>
          <t>1319</t>
        </is>
      </c>
      <c r="C21" s="5" t="inlineStr">
        <is>
          <t>小学多步推理应用题</t>
        </is>
      </c>
      <c r="D21" s="27" t="inlineStr">
        <is>
          <t>in-domain</t>
        </is>
      </c>
    </row>
    <row r="22" ht="26" customHeight="1">
      <c r="A22" s="20" t="inlineStr">
        <is>
          <t>MAWPS</t>
        </is>
      </c>
      <c r="B22" s="32" t="inlineStr">
        <is>
          <t>238</t>
        </is>
      </c>
      <c r="C22" s="39" t="inlineStr">
        <is>
          <t>经典英文应用题合集</t>
        </is>
      </c>
      <c r="D22" s="32" t="inlineStr">
        <is>
          <t>OOD 分布外</t>
        </is>
      </c>
    </row>
    <row r="23" ht="26" customHeight="1">
      <c r="A23" s="20" t="inlineStr">
        <is>
          <t>TabMWP</t>
        </is>
      </c>
      <c r="B23" s="32" t="inlineStr">
        <is>
          <t>706</t>
        </is>
      </c>
      <c r="C23" s="39" t="inlineStr">
        <is>
          <t>要先读懂一张表格再算（训练里没这种题型）</t>
        </is>
      </c>
      <c r="D23" s="32" t="inlineStr">
        <is>
          <t>OOD</t>
        </is>
      </c>
    </row>
    <row r="24" ht="26" customHeight="1">
      <c r="A24" s="20" t="inlineStr">
        <is>
          <t>GSM-Hard</t>
        </is>
      </c>
      <c r="B24" s="32" t="inlineStr">
        <is>
          <t>1319</t>
        </is>
      </c>
      <c r="C24" s="39" t="inlineStr">
        <is>
          <t>GSM8K 换成对抗性的超大数字</t>
        </is>
      </c>
      <c r="D24" s="32" t="inlineStr">
        <is>
          <t>OOD</t>
        </is>
      </c>
    </row>
    <row r="25" ht="26" customHeight="1">
      <c r="A25" s="20" t="inlineStr">
        <is>
          <t>CMATH</t>
        </is>
      </c>
      <c r="B25" s="32" t="inlineStr">
        <is>
          <t>1064</t>
        </is>
      </c>
      <c r="C25" s="39" t="inlineStr">
        <is>
          <t>中文小学数学（测跨语言泛化）</t>
        </is>
      </c>
      <c r="D25" s="32" t="inlineStr">
        <is>
          <t>OOD</t>
        </is>
      </c>
    </row>
    <row r="27">
      <c r="A27" s="28" t="inlineStr">
        <is>
          <t>常用术语</t>
        </is>
      </c>
      <c r="B27" s="10" t="n"/>
      <c r="C27" s="10" t="n"/>
      <c r="D27" s="8" t="n"/>
    </row>
    <row r="28">
      <c r="A28" s="24" t="inlineStr">
        <is>
          <t>术语</t>
        </is>
      </c>
      <c r="B28" s="24" t="inlineStr">
        <is>
          <t>意思</t>
        </is>
      </c>
      <c r="C28" s="24" t="inlineStr"/>
      <c r="D28" s="24" t="inlineStr"/>
    </row>
    <row r="29" ht="24" customHeight="1">
      <c r="A29" s="12" t="inlineStr">
        <is>
          <t>SFT</t>
        </is>
      </c>
      <c r="B29" s="5" t="inlineStr">
        <is>
          <t>监督微调：拿(题, 解)对去训练模型。本工作全部用 SFT。</t>
        </is>
      </c>
      <c r="C29" s="10" t="n"/>
      <c r="D29" s="8" t="n"/>
    </row>
    <row r="30" ht="24" customHeight="1">
      <c r="A30" s="12" t="inlineStr">
        <is>
          <t>LoRA</t>
        </is>
      </c>
      <c r="B30" s="5" t="inlineStr">
        <is>
          <t>一种轻量微调法，只训练少量参数(r=16,α=32)，省显存。</t>
        </is>
      </c>
      <c r="C30" s="10" t="n"/>
      <c r="D30" s="8" t="n"/>
    </row>
    <row r="31" ht="24" customHeight="1">
      <c r="A31" s="12" t="inlineStr">
        <is>
          <t>in-domain</t>
        </is>
      </c>
      <c r="B31" s="5" t="inlineStr">
        <is>
          <t>评测集和训练数据风格相近（英文、同类题型）。</t>
        </is>
      </c>
      <c r="C31" s="10" t="n"/>
      <c r="D31" s="8" t="n"/>
    </row>
    <row r="32" ht="24" customHeight="1">
      <c r="A32" s="12" t="inlineStr">
        <is>
          <t>OOD / 分布外</t>
        </is>
      </c>
      <c r="B32" s="5" t="inlineStr">
        <is>
          <t>评测集和训练差异大（中文、表格、超大数字），测真正的泛化。</t>
        </is>
      </c>
      <c r="C32" s="10" t="n"/>
      <c r="D32" s="8" t="n"/>
    </row>
    <row r="33" ht="24" customHeight="1">
      <c r="A33" s="12" t="inlineStr">
        <is>
          <t>boxed / \boxed{}</t>
        </is>
      </c>
      <c r="B33" s="5" t="inlineStr">
        <is>
          <t>数学界约定：把最终答案框起来，方便自动提取打分。</t>
        </is>
      </c>
      <c r="C33" s="10" t="n"/>
      <c r="D33" s="8" t="n"/>
    </row>
    <row r="34" ht="24" customHeight="1">
      <c r="A34" s="12" t="inlineStr">
        <is>
          <t>SymPy</t>
        </is>
      </c>
      <c r="B34" s="5" t="inlineStr">
        <is>
          <t>Python 符号数学库，用来判断两个答案是否数学等价(如 1/2 = 0.5)。</t>
        </is>
      </c>
      <c r="C34" s="10" t="n"/>
      <c r="D34" s="8" t="n"/>
    </row>
    <row r="35" ht="24" customHeight="1">
      <c r="A35" s="12" t="inlineStr">
        <is>
          <t>GRPO</t>
        </is>
      </c>
      <c r="B35" s="5" t="inlineStr">
        <is>
          <t>一种强化学习算法，这里用『答案对不对』当奖励。</t>
        </is>
      </c>
      <c r="C35" s="10" t="n"/>
      <c r="D35" s="8" t="n"/>
    </row>
    <row r="36" ht="24" customHeight="1">
      <c r="A36" s="12" t="inlineStr">
        <is>
          <t>McNemar</t>
        </is>
      </c>
      <c r="B36" s="5" t="inlineStr">
        <is>
          <t>配对显著性检验，判断两个模型的差异是不是统计显著。</t>
        </is>
      </c>
      <c r="C36" s="10" t="n"/>
      <c r="D36" s="8" t="n"/>
    </row>
    <row r="37" ht="24" customHeight="1">
      <c r="A37" s="12" t="inlineStr">
        <is>
          <t>9-bench avg</t>
        </is>
      </c>
      <c r="B37" s="5" t="inlineStr">
        <is>
          <t>9个评测集的平均分（5个in-domain + 4个OOD），最诚实的总分。</t>
        </is>
      </c>
      <c r="C37" s="10" t="n"/>
      <c r="D37" s="8" t="n"/>
    </row>
  </sheetData>
  <mergeCells count="13">
    <mergeCell ref="B33:D33"/>
    <mergeCell ref="A1:D1"/>
    <mergeCell ref="B36:D36"/>
    <mergeCell ref="B37:D37"/>
    <mergeCell ref="A27:D27"/>
    <mergeCell ref="B31:D31"/>
    <mergeCell ref="A3:D3"/>
    <mergeCell ref="B32:D32"/>
    <mergeCell ref="B35:D35"/>
    <mergeCell ref="A15:D15"/>
    <mergeCell ref="B30:D30"/>
    <mergeCell ref="B29:D29"/>
    <mergeCell ref="B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24" customWidth="1" min="4" max="4"/>
    <col width="28" customWidth="1" min="5" max="5"/>
    <col width="14" customWidth="1" min="6" max="6"/>
    <col width="14" customWidth="1" min="7" max="7"/>
  </cols>
  <sheetData>
    <row r="1">
      <c r="A1" s="1" t="inlineStr">
        <is>
          <t>MISD 框架: Structure → Rewrite → Verify (3-Pillar)</t>
        </is>
      </c>
    </row>
    <row r="2">
      <c r="A2" s="2" t="inlineStr">
        <is>
          <t>数学指令数据精化的三层流水线。输入：raw 数学题 (instruction + solution)。输出：经过 typing/重写/双层验证后的训练样本。</t>
        </is>
      </c>
    </row>
    <row r="3">
      <c r="A3" s="2" t="inlineStr">
        <is>
          <t>应用于 5000 题数学语料 → 经 SymPy 过滤后输出 4692 条训练样本 (即 MISD-Sympy-V2)。</t>
        </is>
      </c>
    </row>
    <row r="5">
      <c r="A5" s="18" t="inlineStr">
        <is>
          <t>数据流</t>
        </is>
      </c>
      <c r="B5" s="10" t="n"/>
      <c r="C5" s="10" t="n"/>
      <c r="D5" s="10" t="n"/>
      <c r="E5" s="10" t="n"/>
      <c r="F5" s="10" t="n"/>
      <c r="G5" s="8" t="n"/>
    </row>
    <row r="6">
      <c r="A6" s="5" t="inlineStr">
        <is>
          <t>Raw 数学题 (instruction + solution)</t>
        </is>
      </c>
      <c r="B6" s="10" t="n"/>
      <c r="C6" s="10" t="n"/>
      <c r="D6" s="10" t="n"/>
      <c r="E6" s="10" t="n"/>
      <c r="F6" s="10" t="n"/>
      <c r="G6" s="8" t="n"/>
    </row>
    <row r="7">
      <c r="A7" s="19" t="inlineStr">
        <is>
          <t xml:space="preserve">          ↓</t>
        </is>
      </c>
      <c r="B7" s="10" t="n"/>
      <c r="C7" s="10" t="n"/>
      <c r="D7" s="10" t="n"/>
      <c r="E7" s="10" t="n"/>
      <c r="F7" s="10" t="n"/>
      <c r="G7" s="8" t="n"/>
    </row>
    <row r="8">
      <c r="A8" s="20" t="inlineStr">
        <is>
          <t>【第 1 层】Structure — Phase 1 typing：6 维 JSON 标签 (setup/conditions/question/format/visual/mcq)</t>
        </is>
      </c>
      <c r="B8" s="10" t="n"/>
      <c r="C8" s="10" t="n"/>
      <c r="D8" s="10" t="n"/>
      <c r="E8" s="10" t="n"/>
      <c r="F8" s="10" t="n"/>
      <c r="G8" s="8" t="n"/>
    </row>
    <row r="9">
      <c r="A9" s="19" t="inlineStr">
        <is>
          <t xml:space="preserve">          ↓ (每条题携带它的结构标签)</t>
        </is>
      </c>
      <c r="B9" s="10" t="n"/>
      <c r="C9" s="10" t="n"/>
      <c r="D9" s="10" t="n"/>
      <c r="E9" s="10" t="n"/>
      <c r="F9" s="10" t="n"/>
      <c r="G9" s="8" t="n"/>
    </row>
    <row r="10">
      <c r="A10" s="21" t="inlineStr">
        <is>
          <t>【第 2 层】Rewrite — Phase 3 polish：按标签触发 5 条改写规则 R1-R5</t>
        </is>
      </c>
      <c r="B10" s="10" t="n"/>
      <c r="C10" s="10" t="n"/>
      <c r="D10" s="10" t="n"/>
      <c r="E10" s="10" t="n"/>
      <c r="F10" s="10" t="n"/>
      <c r="G10" s="8" t="n"/>
    </row>
    <row r="11">
      <c r="A11" s="19" t="inlineStr">
        <is>
          <t xml:space="preserve">          ↓ (改写后的 instruction)</t>
        </is>
      </c>
      <c r="B11" s="10" t="n"/>
      <c r="C11" s="10" t="n"/>
      <c r="D11" s="10" t="n"/>
      <c r="E11" s="10" t="n"/>
      <c r="F11" s="10" t="n"/>
      <c r="G11" s="8" t="n"/>
    </row>
    <row r="12">
      <c r="A12" s="22" t="inlineStr">
        <is>
          <t>【第 3 层 - 安全检查】Verify Layer 1 — Phase 4：S1-S5 改写完整性校验，不通过则回滚</t>
        </is>
      </c>
      <c r="B12" s="10" t="n"/>
      <c r="C12" s="10" t="n"/>
      <c r="D12" s="10" t="n"/>
      <c r="E12" s="10" t="n"/>
      <c r="F12" s="10" t="n"/>
      <c r="G12" s="8" t="n"/>
    </row>
    <row r="13">
      <c r="A13" s="19" t="inlineStr">
        <is>
          <t xml:space="preserve">          ↓</t>
        </is>
      </c>
      <c r="B13" s="10" t="n"/>
      <c r="C13" s="10" t="n"/>
      <c r="D13" s="10" t="n"/>
      <c r="E13" s="10" t="n"/>
      <c r="F13" s="10" t="n"/>
      <c r="G13" s="8" t="n"/>
    </row>
    <row r="14">
      <c r="A14" s="22" t="inlineStr">
        <is>
          <t>【第 3 层 - 答案验证】Verify Layer 2 — Phase 5：SymPy 解原题 + 改后题 → 答案不一致丢弃样本</t>
        </is>
      </c>
      <c r="B14" s="10" t="n"/>
      <c r="C14" s="10" t="n"/>
      <c r="D14" s="10" t="n"/>
      <c r="E14" s="10" t="n"/>
      <c r="F14" s="10" t="n"/>
      <c r="G14" s="8" t="n"/>
    </row>
    <row r="15">
      <c r="A15" s="19" t="inlineStr">
        <is>
          <t xml:space="preserve">          ↓</t>
        </is>
      </c>
      <c r="B15" s="10" t="n"/>
      <c r="C15" s="10" t="n"/>
      <c r="D15" s="10" t="n"/>
      <c r="E15" s="10" t="n"/>
      <c r="F15" s="10" t="n"/>
      <c r="G15" s="8" t="n"/>
    </row>
    <row r="16">
      <c r="A16" s="5" t="inlineStr">
        <is>
          <t>训练数据 (4692 条；从 5000 raw 题精化得到)</t>
        </is>
      </c>
      <c r="B16" s="10" t="n"/>
      <c r="C16" s="10" t="n"/>
      <c r="D16" s="10" t="n"/>
      <c r="E16" s="10" t="n"/>
      <c r="F16" s="10" t="n"/>
      <c r="G16" s="8" t="n"/>
    </row>
    <row r="18">
      <c r="A18" s="23" t="inlineStr">
        <is>
          <t>第 1 层：Structure (Phase 1 typing) — 给每道题贴 6 维标签</t>
        </is>
      </c>
      <c r="B18" s="10" t="n"/>
      <c r="C18" s="10" t="n"/>
      <c r="D18" s="10" t="n"/>
      <c r="E18" s="10" t="n"/>
      <c r="F18" s="10" t="n"/>
      <c r="G18" s="8" t="n"/>
    </row>
    <row r="19" ht="22" customHeight="1">
      <c r="A19" s="24" t="inlineStr">
        <is>
          <t>维度</t>
        </is>
      </c>
      <c r="B19" s="24" t="inlineStr">
        <is>
          <t>含义</t>
        </is>
      </c>
      <c r="C19" s="24" t="inlineStr">
        <is>
          <t>可能取值</t>
        </is>
      </c>
      <c r="D19" s="24" t="inlineStr">
        <is>
          <t>为何重要</t>
        </is>
      </c>
      <c r="E19" s="24" t="inlineStr">
        <is>
          <t>在 5000 题中的占比</t>
        </is>
      </c>
      <c r="F19" s="10" t="n"/>
      <c r="G19" s="8" t="n"/>
    </row>
    <row r="20">
      <c r="A20" s="20" t="inlineStr">
        <is>
          <t>setup</t>
        </is>
      </c>
      <c r="B20" s="5" t="inlineStr">
        <is>
          <t>题目背景（几何 / 数论 / 代数）</t>
        </is>
      </c>
      <c r="C20" s="5" t="inlineStr">
        <is>
          <t>present + summary</t>
        </is>
      </c>
      <c r="D20" s="5" t="inlineStr">
        <is>
          <t>决定要不要加图说明 R1</t>
        </is>
      </c>
      <c r="E20" s="5" t="inlineStr">
        <is>
          <t>几乎 100%</t>
        </is>
      </c>
      <c r="F20" s="10" t="n"/>
      <c r="G20" s="8" t="n"/>
    </row>
    <row r="21">
      <c r="A21" s="20" t="inlineStr">
        <is>
          <t>conditions</t>
        </is>
      </c>
      <c r="B21" s="5" t="inlineStr">
        <is>
          <t>题目条件中是否有变量</t>
        </is>
      </c>
      <c r="C21" s="5" t="inlineStr">
        <is>
          <t>present, has_variables</t>
        </is>
      </c>
      <c r="D21" s="5" t="inlineStr">
        <is>
          <t>决定要不要加 R4 正整数声明</t>
        </is>
      </c>
      <c r="E21" s="5" t="inlineStr">
        <is>
          <t>~35%</t>
        </is>
      </c>
      <c r="F21" s="10" t="n"/>
      <c r="G21" s="8" t="n"/>
    </row>
    <row r="22">
      <c r="A22" s="20" t="inlineStr">
        <is>
          <t>question</t>
        </is>
      </c>
      <c r="B22" s="5" t="inlineStr">
        <is>
          <t>问题类型 (find / prove / count)</t>
        </is>
      </c>
      <c r="C22" s="5" t="inlineStr">
        <is>
          <t>find / prove / count / ...</t>
        </is>
      </c>
      <c r="D22" s="5" t="inlineStr">
        <is>
          <t>决定要不要加 R3 boxed 提示</t>
        </is>
      </c>
      <c r="E22" s="5" t="inlineStr">
        <is>
          <t>find 占 92%</t>
        </is>
      </c>
      <c r="F22" s="10" t="n"/>
      <c r="G22" s="8" t="n"/>
    </row>
    <row r="23">
      <c r="A23" s="20" t="inlineStr">
        <is>
          <t>format</t>
        </is>
      </c>
      <c r="B23" s="5" t="inlineStr">
        <is>
          <t>答案格式特殊要求（分数 / 小数）</t>
        </is>
      </c>
      <c r="C23" s="5" t="inlineStr">
        <is>
          <t>present (true/false)</t>
        </is>
      </c>
      <c r="D23" s="5" t="inlineStr">
        <is>
          <t>决定要不要加 boxed/单位</t>
        </is>
      </c>
      <c r="E23" s="5" t="inlineStr">
        <is>
          <t>~5%</t>
        </is>
      </c>
      <c r="F23" s="10" t="n"/>
      <c r="G23" s="8" t="n"/>
    </row>
    <row r="24">
      <c r="A24" s="20" t="inlineStr">
        <is>
          <t>visual</t>
        </is>
      </c>
      <c r="B24" s="5" t="inlineStr">
        <is>
          <t>是否有图 (asy code)</t>
        </is>
      </c>
      <c r="C24" s="5" t="inlineStr">
        <is>
          <t>present + role(critical/dec)</t>
        </is>
      </c>
      <c r="D24" s="5" t="inlineStr">
        <is>
          <t>决定是否触发 R1 图说明</t>
        </is>
      </c>
      <c r="E24" s="5" t="inlineStr">
        <is>
          <t>~9%</t>
        </is>
      </c>
      <c r="F24" s="10" t="n"/>
      <c r="G24" s="8" t="n"/>
    </row>
    <row r="25">
      <c r="A25" s="20" t="inlineStr">
        <is>
          <t>mcq</t>
        </is>
      </c>
      <c r="B25" s="5" t="inlineStr">
        <is>
          <t>是否选择题</t>
        </is>
      </c>
      <c r="C25" s="5" t="inlineStr">
        <is>
          <t>present (true/false)</t>
        </is>
      </c>
      <c r="D25" s="5" t="inlineStr">
        <is>
          <t>决定是否保留 (A)(B)(C)(D)</t>
        </is>
      </c>
      <c r="E25" s="5" t="inlineStr">
        <is>
          <t>~0% (数学题罕见)</t>
        </is>
      </c>
      <c r="F25" s="10" t="n"/>
      <c r="G25" s="8" t="n"/>
    </row>
    <row r="27" ht="22" customHeight="1">
      <c r="A27" s="9" t="inlineStr">
        <is>
          <t>→ Phase 1 输出：每道题携带一个 JSON 标签字典。Phase 3 用这个字典决定触发哪条改写规则。</t>
        </is>
      </c>
      <c r="B27" s="10" t="n"/>
      <c r="C27" s="10" t="n"/>
      <c r="D27" s="10" t="n"/>
      <c r="E27" s="10" t="n"/>
      <c r="F27" s="10" t="n"/>
      <c r="G27" s="8" t="n"/>
    </row>
    <row r="29">
      <c r="A29" s="25" t="inlineStr">
        <is>
          <t>第 2 层：Rewrite (Phase 3) — 5 条数学特化改写规则</t>
        </is>
      </c>
      <c r="B29" s="10" t="n"/>
      <c r="C29" s="10" t="n"/>
      <c r="D29" s="10" t="n"/>
      <c r="E29" s="10" t="n"/>
      <c r="F29" s="10" t="n"/>
      <c r="G29" s="8" t="n"/>
    </row>
    <row r="30">
      <c r="A30" s="24" t="inlineStr">
        <is>
          <t>规则</t>
        </is>
      </c>
      <c r="B30" s="24" t="inlineStr">
        <is>
          <t>做什么</t>
        </is>
      </c>
      <c r="C30" s="24" t="inlineStr">
        <is>
          <t>触发条件 (从 Phase 1 标签来)</t>
        </is>
      </c>
      <c r="D30" s="24" t="inlineStr">
        <is>
          <t>应用率</t>
        </is>
      </c>
      <c r="E30" s="24" t="inlineStr">
        <is>
          <t>对最终性能贡献 (Δavg)</t>
        </is>
      </c>
      <c r="F30" s="10" t="n"/>
      <c r="G30" s="8" t="n"/>
    </row>
    <row r="31">
      <c r="A31" s="26" t="inlineStr">
        <is>
          <t>R1</t>
        </is>
      </c>
      <c r="B31" s="5" t="inlineStr">
        <is>
          <t>为图加文字说明</t>
        </is>
      </c>
      <c r="C31" s="5" t="inlineStr">
        <is>
          <t>visual.present == true</t>
        </is>
      </c>
      <c r="D31" s="27" t="inlineStr">
        <is>
          <t>~4-11%</t>
        </is>
      </c>
      <c r="E31" s="5" t="inlineStr">
        <is>
          <t>去 R1: +1.37 (轻微噪声)</t>
        </is>
      </c>
      <c r="F31" s="10" t="n"/>
      <c r="G31" s="8" t="n"/>
    </row>
    <row r="32">
      <c r="A32" s="26" t="inlineStr">
        <is>
          <t>R2</t>
        </is>
      </c>
      <c r="B32" s="5" t="inlineStr">
        <is>
          <t>为题目数量加单位标注</t>
        </is>
      </c>
      <c r="C32" s="5" t="inlineStr">
        <is>
          <t>conditions 中检测到单位词</t>
        </is>
      </c>
      <c r="D32" s="27" t="inlineStr">
        <is>
          <t>~5-8%</t>
        </is>
      </c>
      <c r="E32" s="5" t="inlineStr">
        <is>
          <t>去 R2: -0.36 (持平)</t>
        </is>
      </c>
      <c r="F32" s="10" t="n"/>
      <c r="G32" s="8" t="n"/>
    </row>
    <row r="33">
      <c r="A33" s="26" t="inlineStr">
        <is>
          <t>R3</t>
        </is>
      </c>
      <c r="B33" s="5" t="inlineStr">
        <is>
          <t>末尾加 \boxed{} 提示 ⭐</t>
        </is>
      </c>
      <c r="C33" s="5" t="inlineStr">
        <is>
          <t>question.kind == find &amp;&amp; 题中没有 \boxed</t>
        </is>
      </c>
      <c r="D33" s="27" t="inlineStr">
        <is>
          <t>~82%（核心）</t>
        </is>
      </c>
      <c r="E33" s="5" t="inlineStr">
        <is>
          <t>去 R3: -1.69 (核心贡献)</t>
        </is>
      </c>
      <c r="F33" s="10" t="n"/>
      <c r="G33" s="8" t="n"/>
    </row>
    <row r="34">
      <c r="A34" s="26" t="inlineStr">
        <is>
          <t>R4</t>
        </is>
      </c>
      <c r="B34" s="5" t="inlineStr">
        <is>
          <t>声明变量为正整数</t>
        </is>
      </c>
      <c r="C34" s="5" t="inlineStr">
        <is>
          <t>conditions.has_variables == true</t>
        </is>
      </c>
      <c r="D34" s="27" t="inlineStr">
        <is>
          <t>~34%</t>
        </is>
      </c>
      <c r="E34" s="5" t="inlineStr">
        <is>
          <t>去 R4: +1.86 (个体可去)</t>
        </is>
      </c>
      <c r="F34" s="10" t="n"/>
      <c r="G34" s="8" t="n"/>
    </row>
    <row r="35">
      <c r="A35" s="26" t="inlineStr">
        <is>
          <t>R5</t>
        </is>
      </c>
      <c r="B35" s="5" t="inlineStr">
        <is>
          <t>拆长 LaTeX 为中间变量</t>
        </is>
      </c>
      <c r="C35" s="5" t="inlineStr">
        <is>
          <t>instruction 内含 ≥30 字符的连续 LaTeX</t>
        </is>
      </c>
      <c r="D35" s="27" t="inlineStr">
        <is>
          <t>~3-7%</t>
        </is>
      </c>
      <c r="E35" s="5" t="inlineStr">
        <is>
          <t>去 R5: +0.98 (个体可去)</t>
        </is>
      </c>
      <c r="F35" s="10" t="n"/>
      <c r="G35" s="8" t="n"/>
    </row>
    <row r="37" ht="22" customHeight="1">
      <c r="A37" s="9" t="inlineStr">
        <is>
          <t>→ 关键发现 (来自实验 #3)：R3 是 Rewrite 的核心；R1/R4/R5 个体贡献为负或持平 — 论文可以简化为 R2+R3 主导版本。</t>
        </is>
      </c>
      <c r="B37" s="10" t="n"/>
      <c r="C37" s="10" t="n"/>
      <c r="D37" s="10" t="n"/>
      <c r="E37" s="10" t="n"/>
      <c r="F37" s="10" t="n"/>
      <c r="G37" s="8" t="n"/>
    </row>
    <row r="39">
      <c r="A39" s="28" t="inlineStr">
        <is>
          <t>第 3 层：Verify — 双层验证（改写不破坏 + 答案不矛盾）</t>
        </is>
      </c>
      <c r="B39" s="10" t="n"/>
      <c r="C39" s="10" t="n"/>
      <c r="D39" s="10" t="n"/>
      <c r="E39" s="10" t="n"/>
      <c r="F39" s="10" t="n"/>
      <c r="G39" s="8" t="n"/>
    </row>
    <row r="40" ht="24" customHeight="1">
      <c r="A40" s="29" t="inlineStr">
        <is>
          <t>Layer 1 — Phase 4：5 条 Safety rules（形式校验）。Rewrite 完成后逐条检查；任一条不通过 → 回滚 Rewrite，保留原题。</t>
        </is>
      </c>
      <c r="B40" s="10" t="n"/>
      <c r="C40" s="10" t="n"/>
      <c r="D40" s="10" t="n"/>
      <c r="E40" s="10" t="n"/>
      <c r="F40" s="10" t="n"/>
      <c r="G40" s="8" t="n"/>
    </row>
    <row r="41">
      <c r="A41" s="24" t="inlineStr">
        <is>
          <t>规则</t>
        </is>
      </c>
      <c r="B41" s="24" t="inlineStr">
        <is>
          <t>检查什么</t>
        </is>
      </c>
      <c r="C41" s="24" t="inlineStr">
        <is>
          <t>失败后果</t>
        </is>
      </c>
      <c r="D41" s="24" t="inlineStr">
        <is>
          <t>在 4692 数据中的触发率</t>
        </is>
      </c>
      <c r="E41" s="10" t="n"/>
      <c r="F41" s="10" t="n"/>
      <c r="G41" s="8" t="n"/>
    </row>
    <row r="42">
      <c r="A42" s="30" t="inlineStr">
        <is>
          <t>S1</t>
        </is>
      </c>
      <c r="B42" s="5" t="inlineStr">
        <is>
          <t>LaTeX 命令完整性 (\frac, \sqrt 等不被破坏)</t>
        </is>
      </c>
      <c r="C42" s="5" t="inlineStr">
        <is>
          <t>Rewrite 回滚</t>
        </is>
      </c>
      <c r="D42" s="5" t="inlineStr">
        <is>
          <t>~0.3%（很少触发）</t>
        </is>
      </c>
      <c r="E42" s="10" t="n"/>
      <c r="F42" s="10" t="n"/>
      <c r="G42" s="8" t="n"/>
    </row>
    <row r="43">
      <c r="A43" s="30" t="inlineStr">
        <is>
          <t>S2</t>
        </is>
      </c>
      <c r="B43" s="5" t="inlineStr">
        <is>
          <t>变量字母 (A, B, x, n) 一致性</t>
        </is>
      </c>
      <c r="C43" s="5" t="inlineStr">
        <is>
          <t>Rewrite 回滚</t>
        </is>
      </c>
      <c r="D43" s="5" t="inlineStr">
        <is>
          <t>~0.5%</t>
        </is>
      </c>
      <c r="E43" s="10" t="n"/>
      <c r="F43" s="10" t="n"/>
      <c r="G43" s="8" t="n"/>
    </row>
    <row r="44">
      <c r="A44" s="30" t="inlineStr">
        <is>
          <t>S3</t>
        </is>
      </c>
      <c r="B44" s="5" t="inlineStr">
        <is>
          <t>原题中的数字未被丢失</t>
        </is>
      </c>
      <c r="C44" s="5" t="inlineStr">
        <is>
          <t>Rewrite 回滚</t>
        </is>
      </c>
      <c r="D44" s="5" t="inlineStr">
        <is>
          <t>~0.2%</t>
        </is>
      </c>
      <c r="E44" s="10" t="n"/>
      <c r="F44" s="10" t="n"/>
      <c r="G44" s="8" t="n"/>
    </row>
    <row r="45">
      <c r="A45" s="30" t="inlineStr">
        <is>
          <t>S4</t>
        </is>
      </c>
      <c r="B45" s="5" t="inlineStr">
        <is>
          <t>原题中的格式约束 ("用分数" 等) 保留</t>
        </is>
      </c>
      <c r="C45" s="5" t="inlineStr">
        <is>
          <t>Rewrite 回滚</t>
        </is>
      </c>
      <c r="D45" s="5" t="inlineStr">
        <is>
          <t>~0.1%</t>
        </is>
      </c>
      <c r="E45" s="10" t="n"/>
      <c r="F45" s="10" t="n"/>
      <c r="G45" s="8" t="n"/>
    </row>
    <row r="46">
      <c r="A46" s="30" t="inlineStr">
        <is>
          <t>S5</t>
        </is>
      </c>
      <c r="B46" s="5" t="inlineStr">
        <is>
          <t>选择题选项 (A)(B)(C)(D) 保留</t>
        </is>
      </c>
      <c r="C46" s="5" t="inlineStr">
        <is>
          <t>Rewrite 回滚</t>
        </is>
      </c>
      <c r="D46" s="5" t="inlineStr">
        <is>
          <t>~0%（数学题极少）</t>
        </is>
      </c>
      <c r="E46" s="10" t="n"/>
      <c r="F46" s="10" t="n"/>
      <c r="G46" s="8" t="n"/>
    </row>
    <row r="48" ht="24" customHeight="1">
      <c r="A48" s="29" t="inlineStr">
        <is>
          <t>Layer 2 — Phase 5：SymPy 答案验证。用 Qwen2.5-7B 同时解原题与改后题 → 用 SymPy 检查两答案是否等价 → 不等价丢弃。</t>
        </is>
      </c>
      <c r="B48" s="10" t="n"/>
      <c r="C48" s="10" t="n"/>
      <c r="D48" s="10" t="n"/>
      <c r="E48" s="10" t="n"/>
      <c r="F48" s="10" t="n"/>
      <c r="G48" s="8" t="n"/>
    </row>
    <row r="49" ht="22" customHeight="1">
      <c r="A49" s="9" t="inlineStr">
        <is>
          <t>数据：5000 raw → 经 Phase 1-4 → 4998 候选 → Phase 5 SymPy 过滤丢弃 306 条 → 最终 4692 条训练样本。</t>
        </is>
      </c>
      <c r="B49" s="10" t="n"/>
      <c r="C49" s="10" t="n"/>
      <c r="D49" s="10" t="n"/>
      <c r="E49" s="10" t="n"/>
      <c r="F49" s="10" t="n"/>
      <c r="G49" s="8" t="n"/>
    </row>
    <row r="51">
      <c r="A51" s="31" t="inlineStr">
        <is>
          <t>与其他方法的核心区别（论文卖点）</t>
        </is>
      </c>
      <c r="B51" s="10" t="n"/>
      <c r="C51" s="10" t="n"/>
      <c r="D51" s="10" t="n"/>
      <c r="E51" s="10" t="n"/>
      <c r="F51" s="10" t="n"/>
      <c r="G51" s="8" t="n"/>
    </row>
    <row r="52">
      <c r="A52" s="24" t="inlineStr">
        <is>
          <t>方法</t>
        </is>
      </c>
      <c r="B52" s="24" t="inlineStr">
        <is>
          <t>选样本？</t>
        </is>
      </c>
      <c r="C52" s="24" t="inlineStr">
        <is>
          <t>改样本？</t>
        </is>
      </c>
      <c r="D52" s="24" t="inlineStr">
        <is>
          <t>数学特化？</t>
        </is>
      </c>
      <c r="E52" s="24" t="inlineStr">
        <is>
          <t>验证答案？</t>
        </is>
      </c>
      <c r="F52" s="24" t="inlineStr">
        <is>
          <t>结果 (5-bench avg)</t>
        </is>
      </c>
      <c r="G52" s="8" t="n"/>
    </row>
    <row r="53">
      <c r="A53" s="12" t="inlineStr">
        <is>
          <t>LIMA / IFD / DEITA / Cherry</t>
        </is>
      </c>
      <c r="B53" s="5" t="inlineStr">
        <is>
          <t>✓ 选短/选难/选影响大</t>
        </is>
      </c>
      <c r="C53" s="5" t="inlineStr">
        <is>
          <t>✗</t>
        </is>
      </c>
      <c r="D53" s="5" t="inlineStr">
        <is>
          <t>✗ 通用 LLM 数据</t>
        </is>
      </c>
      <c r="E53" s="5" t="inlineStr">
        <is>
          <t>✗</t>
        </is>
      </c>
      <c r="F53" s="5" t="inlineStr">
        <is>
          <t>50 - 55</t>
        </is>
      </c>
      <c r="G53" s="8" t="n"/>
    </row>
    <row r="54">
      <c r="A54" s="12" t="inlineStr">
        <is>
          <t>Sanity (Claude 全文重写)</t>
        </is>
      </c>
      <c r="B54" s="5" t="inlineStr">
        <is>
          <t>✗</t>
        </is>
      </c>
      <c r="C54" s="5" t="inlineStr">
        <is>
          <t>✓ 全文 LLM 改</t>
        </is>
      </c>
      <c r="D54" s="5" t="inlineStr">
        <is>
          <t>✗ 经常丢图/破公式</t>
        </is>
      </c>
      <c r="E54" s="5" t="inlineStr">
        <is>
          <t>✗</t>
        </is>
      </c>
      <c r="F54" s="5" t="inlineStr">
        <is>
          <t>73.79</t>
        </is>
      </c>
      <c r="G54" s="8" t="n"/>
    </row>
    <row r="55">
      <c r="A55" s="12" t="inlineStr">
        <is>
          <t>MISD (本工作)</t>
        </is>
      </c>
      <c r="B55" s="5" t="inlineStr">
        <is>
          <t>✗ (保留全量)</t>
        </is>
      </c>
      <c r="C55" s="5" t="inlineStr">
        <is>
          <t>✓ 按 5 条规则精准加料</t>
        </is>
      </c>
      <c r="D55" s="5" t="inlineStr">
        <is>
          <t>✓ 全程数学结构感知</t>
        </is>
      </c>
      <c r="E55" s="5" t="inlineStr">
        <is>
          <t>✓ SymPy 双层验证</t>
        </is>
      </c>
      <c r="F55" s="5" t="inlineStr">
        <is>
          <t>75.33 (V2 全量) / 79.70 (2000 子集)</t>
        </is>
      </c>
      <c r="G55" s="8" t="n"/>
    </row>
    <row r="57" ht="28" customHeight="1">
      <c r="A57" s="18" t="inlineStr">
        <is>
          <t>一句话概括 MISD：先识结构 → 按结构精准加料 → 加完逐项查没改坏 → 用 SymPy 验答案不矛盾 → 全程不破坏、只增强。</t>
        </is>
      </c>
      <c r="B57" s="10" t="n"/>
      <c r="C57" s="10" t="n"/>
      <c r="D57" s="10" t="n"/>
      <c r="E57" s="10" t="n"/>
      <c r="F57" s="10" t="n"/>
      <c r="G57" s="8" t="n"/>
    </row>
    <row r="60" ht="24" customHeight="1">
      <c r="A60" s="52" t="inlineStr">
        <is>
          <t>📐 完整示例：一道几何题走完整个 MISD 流水线（真实样本 id=621）</t>
        </is>
      </c>
      <c r="B60" s="53" t="n"/>
      <c r="C60" s="53" t="n"/>
      <c r="D60" s="53" t="n"/>
      <c r="E60" s="53" t="n"/>
      <c r="F60" s="53" t="n"/>
      <c r="G60" s="54" t="n"/>
    </row>
    <row r="61" ht="24" customHeight="1">
      <c r="A61" s="55" t="inlineStr">
        <is>
          <t>下面用一道「正方形内接抛物线、求面积」的题，演示框架每一层具体做了什么、输入变成什么。看完就懂整个流程。</t>
        </is>
      </c>
      <c r="B61" s="53" t="n"/>
      <c r="C61" s="53" t="n"/>
      <c r="D61" s="53" t="n"/>
      <c r="E61" s="53" t="n"/>
      <c r="F61" s="53" t="n"/>
      <c r="G61" s="54" t="n"/>
    </row>
    <row r="62" ht="20" customHeight="1">
      <c r="A62" s="56" t="inlineStr">
        <is>
          <t>① 原始输入（raw 数学题）</t>
        </is>
      </c>
      <c r="B62" s="53" t="n"/>
      <c r="C62" s="53" t="n"/>
      <c r="D62" s="53" t="n"/>
      <c r="E62" s="53" t="n"/>
      <c r="F62" s="53" t="n"/>
      <c r="G62" s="54" t="n"/>
    </row>
    <row r="63" ht="40" customHeight="1">
      <c r="A63" s="57" t="inlineStr">
        <is>
          <t>题目：Square $ABCD$ is inscribed in the region bound by the parabola $y=x^2-8x+12$ and the $x$-axis. Find the area of square $ABCD$.  〔附一张 asy 几何图〕     │     标准答案：16</t>
        </is>
      </c>
      <c r="B63" s="53" t="n"/>
      <c r="C63" s="53" t="n"/>
      <c r="D63" s="53" t="n"/>
      <c r="E63" s="53" t="n"/>
      <c r="F63" s="53" t="n"/>
      <c r="G63" s="54" t="n"/>
    </row>
    <row r="64" ht="30" customHeight="1">
      <c r="A64" s="58" t="inlineStr">
        <is>
          <t>阶段（哪一层）</t>
        </is>
      </c>
      <c r="B64" s="58" t="inlineStr">
        <is>
          <t>这一步做什么</t>
        </is>
      </c>
      <c r="C64" s="54" t="n"/>
      <c r="D64" s="58" t="inlineStr">
        <is>
          <t>这道题的具体内容（输入 → 输出）</t>
        </is>
      </c>
      <c r="E64" s="53" t="n"/>
      <c r="F64" s="53" t="n"/>
      <c r="G64" s="54" t="n"/>
    </row>
    <row r="65" ht="48" customHeight="1">
      <c r="A65" s="59" t="inlineStr">
        <is>
          <t>【第1层】Structure
Phase 1 给题贴标签</t>
        </is>
      </c>
      <c r="B65" s="59" t="inlineStr">
        <is>
          <t>看一眼题目，判断它长什么样，输出 6 维 JSON 标签</t>
        </is>
      </c>
      <c r="C65" s="54" t="n"/>
      <c r="D65" s="59" t="inlineStr">
        <is>
          <t>setup=有(几何/抛物线)、conditions=有变量(ABCD)、question=find(求面积)、format=无特殊要求、visual=有图(关键)、mcq=不是选择题  →  生成标签字典，交给第2层</t>
        </is>
      </c>
      <c r="E65" s="53" t="n"/>
      <c r="F65" s="53" t="n"/>
      <c r="G65" s="54" t="n"/>
    </row>
    <row r="66" ht="56" customHeight="1">
      <c r="A66" s="60" t="inlineStr">
        <is>
          <t>【第2层】Rewrite
Phase 3 按标签加料</t>
        </is>
      </c>
      <c r="B66" s="60" t="inlineStr">
        <is>
          <t>根据标签触发对应规则，只加不删</t>
        </is>
      </c>
      <c r="C66" s="54" t="n"/>
      <c r="D66" s="60" t="inlineStr">
        <is>
          <t>R1触发(有图)→加『A、C 在抛物线上，B、D 在 x 轴上』；R3触发(find题)→末尾加『\boxed{}』提示；R4触发(有变量)→加『设 n 为正整数』；R5触发(长公式)→『设 u=x²-8x+12』</t>
        </is>
      </c>
      <c r="E66" s="53" t="n"/>
      <c r="F66" s="53" t="n"/>
      <c r="G66" s="54" t="n"/>
    </row>
    <row r="67" ht="56" customHeight="1">
      <c r="A67" s="60" t="inlineStr">
        <is>
          <t xml:space="preserve">　改写前 → 改写后
（直观对比）</t>
        </is>
      </c>
      <c r="B67" s="60" t="inlineStr">
        <is>
          <t>原来一句话的题，被精准补充了图说明、boxed提示、中间变量</t>
        </is>
      </c>
      <c r="C67" s="54" t="n"/>
      <c r="D67" s="60" t="inlineStr">
        <is>
          <t>前：『…inscribed in y=x²-8x+12 … Find the area.〔图〕』
后：『…inscribed in y=x²-8x+12. (A,C on parabola; B,D on x-axis.) Let u=x²-8x+12. Find the area. Give the final answer inside \boxed{}.〔图〕』</t>
        </is>
      </c>
      <c r="E67" s="53" t="n"/>
      <c r="F67" s="53" t="n"/>
      <c r="G67" s="54" t="n"/>
    </row>
    <row r="68" ht="56" customHeight="1">
      <c r="A68" s="61" t="inlineStr">
        <is>
          <t>【第3层-安全检查】Verify L1
Phase 4 五条 S1-S5</t>
        </is>
      </c>
      <c r="B68" s="61" t="inlineStr">
        <is>
          <t>逐条检查改写有没有把原题改坏，坏了就回滚</t>
        </is>
      </c>
      <c r="C68" s="54" t="n"/>
      <c r="D68" s="61" t="inlineStr">
        <is>
          <t>S1 LaTeX完整✓  S2 变量A/B/C/D都还在✓  S3 数字8、12没丢✓  S4 无格式约束✓  S5 无选项✓  →  全过（因为只加不删）。〔若LLM把\frac写成普通除号 → S1拦截，改写回滚〕</t>
        </is>
      </c>
      <c r="E68" s="53" t="n"/>
      <c r="F68" s="53" t="n"/>
      <c r="G68" s="54" t="n"/>
    </row>
    <row r="69" ht="56" customHeight="1">
      <c r="A69" s="61" t="inlineStr">
        <is>
          <t>【第3层-答案验证】Verify L2
Phase 5 SymPy</t>
        </is>
      </c>
      <c r="B69" s="61" t="inlineStr">
        <is>
          <t>让7B分别解原题和改后题，SymPy比答案是否等价，不等就丢弃</t>
        </is>
      </c>
      <c r="C69" s="54" t="n"/>
      <c r="D69" s="61" t="inlineStr">
        <is>
          <t>7B解原题=16 ✓；解改后题(本例没输出boxed→保守保留)。〔若原题答16、改后答25 → SymPy判不等 → 这条样本被丢掉，避免训练数据自相矛盾〕</t>
        </is>
      </c>
      <c r="E69" s="53" t="n"/>
      <c r="F69" s="53" t="n"/>
      <c r="G69" s="54" t="n"/>
    </row>
    <row r="70" ht="40" customHeight="1">
      <c r="A70" s="62" t="inlineStr">
        <is>
          <t>② 最终输出</t>
        </is>
      </c>
      <c r="B70" s="62" t="inlineStr">
        <is>
          <t>这道题通过全部 4 关</t>
        </is>
      </c>
      <c r="C70" s="54" t="n"/>
      <c r="D70" s="62" t="inlineStr">
        <is>
          <t>→ 进入 4692 条训练集。模型学到：正确解题 + 答案用\boxed{}输出 + 几何题图很重要 + 变量类型要明确。</t>
        </is>
      </c>
      <c r="E70" s="53" t="n"/>
      <c r="F70" s="53" t="n"/>
      <c r="G70" s="54" t="n"/>
    </row>
    <row r="71" ht="46" customHeight="1">
      <c r="A71" s="57" t="inlineStr">
        <is>
          <t>👉 这个例子说明 3 件事：(1) Structure 不是装饰——它告诉 Rewrite『这题有图』R1 才触发；(2) Rewrite 不是盲改——5 条规则各有触发条件，只在合适场景启动；(3) Verify 双保险——先查改写没破坏(S1-S5)，再用 SymPy 查答案不矛盾，整个流程可追溯。</t>
        </is>
      </c>
      <c r="B71" s="53" t="n"/>
      <c r="C71" s="53" t="n"/>
      <c r="D71" s="53" t="n"/>
      <c r="E71" s="53" t="n"/>
      <c r="F71" s="53" t="n"/>
      <c r="G71" s="54" t="n"/>
    </row>
  </sheetData>
  <mergeCells count="67">
    <mergeCell ref="A14:G14"/>
    <mergeCell ref="E19:G19"/>
    <mergeCell ref="A8:G8"/>
    <mergeCell ref="F54:G54"/>
    <mergeCell ref="E31:G31"/>
    <mergeCell ref="A62:G62"/>
    <mergeCell ref="D68:G68"/>
    <mergeCell ref="E34:G34"/>
    <mergeCell ref="D64:G64"/>
    <mergeCell ref="B66:C66"/>
    <mergeCell ref="A29:G29"/>
    <mergeCell ref="E30:G30"/>
    <mergeCell ref="D67:G67"/>
    <mergeCell ref="D42:G42"/>
    <mergeCell ref="A63:G63"/>
    <mergeCell ref="A10:G10"/>
    <mergeCell ref="A13:G13"/>
    <mergeCell ref="B70:C70"/>
    <mergeCell ref="F55:G55"/>
    <mergeCell ref="A40:G40"/>
    <mergeCell ref="A9:G9"/>
    <mergeCell ref="F53:G53"/>
    <mergeCell ref="D69:G69"/>
    <mergeCell ref="A39:G39"/>
    <mergeCell ref="D44:G44"/>
    <mergeCell ref="B67:C67"/>
    <mergeCell ref="A48:G48"/>
    <mergeCell ref="A15:G15"/>
    <mergeCell ref="A60:G60"/>
    <mergeCell ref="A11:G11"/>
    <mergeCell ref="E25:G25"/>
    <mergeCell ref="A49:G49"/>
    <mergeCell ref="D46:G46"/>
    <mergeCell ref="A51:G51"/>
    <mergeCell ref="E32:G32"/>
    <mergeCell ref="B69:C69"/>
    <mergeCell ref="A61:G61"/>
    <mergeCell ref="A1:G1"/>
    <mergeCell ref="E22:G22"/>
    <mergeCell ref="D45:G45"/>
    <mergeCell ref="D65:G65"/>
    <mergeCell ref="A6:G6"/>
    <mergeCell ref="A16:G16"/>
    <mergeCell ref="A7:G7"/>
    <mergeCell ref="E21:G21"/>
    <mergeCell ref="B65:C65"/>
    <mergeCell ref="F52:G52"/>
    <mergeCell ref="A37:G37"/>
    <mergeCell ref="E24:G24"/>
    <mergeCell ref="D41:G41"/>
    <mergeCell ref="B68:C68"/>
    <mergeCell ref="B64:C64"/>
    <mergeCell ref="E33:G33"/>
    <mergeCell ref="A18:G18"/>
    <mergeCell ref="A27:G27"/>
    <mergeCell ref="D70:G70"/>
    <mergeCell ref="A3:G3"/>
    <mergeCell ref="E23:G23"/>
    <mergeCell ref="D66:G66"/>
    <mergeCell ref="A12:G12"/>
    <mergeCell ref="A2:G2"/>
    <mergeCell ref="E35:G35"/>
    <mergeCell ref="D43:G43"/>
    <mergeCell ref="A57:G57"/>
    <mergeCell ref="A71:G71"/>
    <mergeCell ref="E20:G20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实验 #1: 不同数据处理方法在 5 个数学 benchmark 上的效果</t>
        </is>
      </c>
    </row>
    <row r="2">
      <c r="A2" s="2" t="inlineStr">
        <is>
          <t>基模 Qwen2.5-3B，LoRA r=16 α=32，lr=1e-4，3 epochs。所有方法相同训练配置，仅训练数据不同。</t>
        </is>
      </c>
    </row>
    <row r="3">
      <c r="A3" s="2" t="inlineStr">
        <is>
          <t>Avg = 5 benchmark 平均。颜色：浅蓝=复现别人论文 / 浅绿=本工作 + 内部对照。</t>
        </is>
      </c>
    </row>
    <row r="5">
      <c r="A5" s="3" t="inlineStr">
        <is>
          <t>来源</t>
        </is>
      </c>
      <c r="B5" s="3" t="inlineStr">
        <is>
          <t>方法</t>
        </is>
      </c>
      <c r="C5" s="3" t="inlineStr">
        <is>
          <t>训练样本</t>
        </is>
      </c>
      <c r="D5" s="3" t="inlineStr">
        <is>
          <t>SVAMP</t>
        </is>
      </c>
      <c r="E5" s="3" t="inlineStr">
        <is>
          <t>ASDiv</t>
        </is>
      </c>
      <c r="F5" s="3" t="inlineStr">
        <is>
          <t>AddSub</t>
        </is>
      </c>
      <c r="G5" s="3" t="inlineStr">
        <is>
          <t>MATH500</t>
        </is>
      </c>
      <c r="H5" s="3" t="inlineStr">
        <is>
          <t>GSM8K</t>
        </is>
      </c>
      <c r="I5" s="3" t="inlineStr">
        <is>
          <t>Avg</t>
        </is>
      </c>
    </row>
    <row r="6">
      <c r="A6" s="11" t="inlineStr">
        <is>
          <t>复现</t>
        </is>
      </c>
      <c r="B6" s="12" t="inlineStr">
        <is>
          <t>LIMA</t>
        </is>
      </c>
      <c r="C6" s="4" t="n">
        <v>4000</v>
      </c>
      <c r="D6" s="4" t="n">
        <v>49.6</v>
      </c>
      <c r="E6" s="4" t="n">
        <v>66.62</v>
      </c>
      <c r="F6" s="4" t="n">
        <v>35.7</v>
      </c>
      <c r="G6" s="4" t="n">
        <v>43.2</v>
      </c>
      <c r="H6" s="4" t="n">
        <v>70.36</v>
      </c>
      <c r="I6" s="4" t="n">
        <v>53.1</v>
      </c>
    </row>
    <row r="7">
      <c r="A7" s="11" t="inlineStr">
        <is>
          <t>复现</t>
        </is>
      </c>
      <c r="B7" s="12" t="inlineStr">
        <is>
          <t>IFD</t>
        </is>
      </c>
      <c r="C7" s="4" t="n">
        <v>4000</v>
      </c>
      <c r="D7" s="4" t="n">
        <v>43.7</v>
      </c>
      <c r="E7" s="4" t="n">
        <v>58.35</v>
      </c>
      <c r="F7" s="4" t="n">
        <v>37.22</v>
      </c>
      <c r="G7" s="4" t="n">
        <v>41.8</v>
      </c>
      <c r="H7" s="4" t="n">
        <v>70.05</v>
      </c>
      <c r="I7" s="4" t="n">
        <v>50.22</v>
      </c>
    </row>
    <row r="8">
      <c r="A8" s="11" t="inlineStr">
        <is>
          <t>复现</t>
        </is>
      </c>
      <c r="B8" s="12" t="inlineStr">
        <is>
          <t>SuperFiltering</t>
        </is>
      </c>
      <c r="C8" s="4" t="n">
        <v>4000</v>
      </c>
      <c r="D8" s="4" t="n">
        <v>44.3</v>
      </c>
      <c r="E8" s="4" t="n">
        <v>67.05</v>
      </c>
      <c r="F8" s="4" t="n">
        <v>37.72</v>
      </c>
      <c r="G8" s="4" t="n">
        <v>40.6</v>
      </c>
      <c r="H8" s="4" t="n">
        <v>70.51000000000001</v>
      </c>
      <c r="I8" s="4" t="n">
        <v>52.04</v>
      </c>
    </row>
    <row r="9">
      <c r="A9" s="11" t="inlineStr">
        <is>
          <t>复现</t>
        </is>
      </c>
      <c r="B9" s="12" t="inlineStr">
        <is>
          <t>DEITA</t>
        </is>
      </c>
      <c r="C9" s="4" t="n">
        <v>4000</v>
      </c>
      <c r="D9" s="4" t="n">
        <v>52.5</v>
      </c>
      <c r="E9" s="4" t="n">
        <v>69.47</v>
      </c>
      <c r="F9" s="4" t="n">
        <v>45.82</v>
      </c>
      <c r="G9" s="4" t="n">
        <v>40.6</v>
      </c>
      <c r="H9" s="4" t="n">
        <v>67.93000000000001</v>
      </c>
      <c r="I9" s="4" t="n">
        <v>55.26</v>
      </c>
    </row>
    <row r="10">
      <c r="A10" s="11" t="inlineStr">
        <is>
          <t>复现</t>
        </is>
      </c>
      <c r="B10" s="12" t="inlineStr">
        <is>
          <t>Cherry</t>
        </is>
      </c>
      <c r="C10" s="4" t="n">
        <v>4000</v>
      </c>
      <c r="D10" s="4" t="n">
        <v>47.8</v>
      </c>
      <c r="E10" s="4" t="n">
        <v>67.48</v>
      </c>
      <c r="F10" s="4" t="n">
        <v>38.99</v>
      </c>
      <c r="G10" s="4" t="n">
        <v>43</v>
      </c>
      <c r="H10" s="4" t="n">
        <v>71.42</v>
      </c>
      <c r="I10" s="4" t="n">
        <v>53.74</v>
      </c>
    </row>
    <row r="11">
      <c r="A11" s="13" t="inlineStr">
        <is>
          <t>内部对照</t>
        </is>
      </c>
      <c r="B11" s="12" t="inlineStr">
        <is>
          <t>Random 4k 子集</t>
        </is>
      </c>
      <c r="C11" s="4" t="n">
        <v>4000</v>
      </c>
      <c r="D11" s="4" t="n">
        <v>46.3</v>
      </c>
      <c r="E11" s="4" t="n">
        <v>68.90000000000001</v>
      </c>
      <c r="F11" s="4" t="n">
        <v>40.76</v>
      </c>
      <c r="G11" s="4" t="n">
        <v>38.2</v>
      </c>
      <c r="H11" s="4" t="n">
        <v>71.11</v>
      </c>
      <c r="I11" s="4" t="n">
        <v>53.05</v>
      </c>
    </row>
    <row r="12">
      <c r="A12" s="13" t="inlineStr">
        <is>
          <t>内部对照</t>
        </is>
      </c>
      <c r="B12" s="12" t="inlineStr">
        <is>
          <t>Raw 5k + boxed 后缀</t>
        </is>
      </c>
      <c r="C12" s="4" t="n">
        <v>4998</v>
      </c>
      <c r="D12" s="4" t="n">
        <v>60.5</v>
      </c>
      <c r="E12" s="4" t="n">
        <v>81.73999999999999</v>
      </c>
      <c r="F12" s="4" t="n">
        <v>54.68</v>
      </c>
      <c r="G12" s="4" t="n">
        <v>38.6</v>
      </c>
      <c r="H12" s="4" t="n">
        <v>73.54000000000001</v>
      </c>
      <c r="I12" s="4" t="n">
        <v>61.81</v>
      </c>
    </row>
    <row r="13">
      <c r="A13" s="13" t="inlineStr">
        <is>
          <t>内部对照</t>
        </is>
      </c>
      <c r="B13" s="12" t="inlineStr">
        <is>
          <t>Sanity (Claude 全文重写)</t>
        </is>
      </c>
      <c r="C13" s="4" t="n">
        <v>4998</v>
      </c>
      <c r="D13" s="4" t="n">
        <v>75.8</v>
      </c>
      <c r="E13" s="4" t="n">
        <v>84.02</v>
      </c>
      <c r="F13" s="4" t="n">
        <v>80</v>
      </c>
      <c r="G13" s="4" t="n">
        <v>52.8</v>
      </c>
      <c r="H13" s="4" t="n">
        <v>76.34999999999999</v>
      </c>
      <c r="I13" s="4" t="n">
        <v>73.79000000000001</v>
      </c>
    </row>
    <row r="14">
      <c r="A14" s="13" t="inlineStr">
        <is>
          <t>本工作</t>
        </is>
      </c>
      <c r="B14" s="12" t="inlineStr">
        <is>
          <t>MISD-Sympy-V2 (SFT)</t>
        </is>
      </c>
      <c r="C14" s="4" t="n">
        <v>4692</v>
      </c>
      <c r="D14" s="4" t="n">
        <v>76.8</v>
      </c>
      <c r="E14" s="4" t="n">
        <v>85.31</v>
      </c>
      <c r="F14" s="4" t="n">
        <v>80.76000000000001</v>
      </c>
      <c r="G14" s="4" t="n">
        <v>52.8</v>
      </c>
      <c r="H14" s="4" t="n">
        <v>80.97</v>
      </c>
      <c r="I14" s="4" t="n">
        <v>75.33</v>
      </c>
    </row>
    <row r="15">
      <c r="A15" s="13" t="inlineStr">
        <is>
          <t>本工作</t>
        </is>
      </c>
      <c r="B15" s="12" t="inlineStr">
        <is>
          <t>MISD + GRPO v1</t>
        </is>
      </c>
      <c r="C15" s="4" t="n">
        <v>4692</v>
      </c>
      <c r="D15" s="4" t="n">
        <v>78.5</v>
      </c>
      <c r="E15" s="4" t="n">
        <v>85.73</v>
      </c>
      <c r="F15" s="4" t="n">
        <v>80.51000000000001</v>
      </c>
      <c r="G15" s="4" t="n">
        <v>52.6</v>
      </c>
      <c r="H15" s="4" t="n">
        <v>80.29000000000001</v>
      </c>
      <c r="I15" s="14" t="n">
        <v>75.53</v>
      </c>
    </row>
    <row r="17">
      <c r="A17" s="15" t="inlineStr">
        <is>
          <t>解读：</t>
        </is>
      </c>
    </row>
    <row r="18" ht="22" customHeight="1">
      <c r="A18" s="9" t="inlineStr">
        <is>
          <t>• 复现 baseline (LIMA/IFD/SF/DEITA/Cherry) avg 50-55；这 5 个方法都是通用数据选择，对数学题不专门处理</t>
        </is>
      </c>
      <c r="B18" s="10" t="n"/>
      <c r="C18" s="10" t="n"/>
      <c r="D18" s="10" t="n"/>
      <c r="E18" s="10" t="n"/>
      <c r="F18" s="10" t="n"/>
      <c r="G18" s="10" t="n"/>
      <c r="H18" s="10" t="n"/>
      <c r="I18" s="8" t="n"/>
    </row>
    <row r="19" ht="22" customHeight="1">
      <c r="A19" s="9" t="inlineStr">
        <is>
          <t>• 内部对照 Sanity (Claude 全文重写) 已经能到 73.79 — 说明 "重写" 本身有用，但仍有结构丢失（图说明、boxed 等）</t>
        </is>
      </c>
      <c r="B19" s="10" t="n"/>
      <c r="C19" s="10" t="n"/>
      <c r="D19" s="10" t="n"/>
      <c r="E19" s="10" t="n"/>
      <c r="F19" s="10" t="n"/>
      <c r="G19" s="10" t="n"/>
      <c r="H19" s="10" t="n"/>
      <c r="I19" s="8" t="n"/>
    </row>
    <row r="20" ht="22" customHeight="1">
      <c r="A20" s="9" t="inlineStr">
        <is>
          <t>• MISD V2 在 Sanity 基础上加 SymPy 过滤 + 5 条规则，做到 75.33，相比 Sanity +1.54；最大涨幅在 GSM8K (+4.62)</t>
        </is>
      </c>
      <c r="B20" s="10" t="n"/>
      <c r="C20" s="10" t="n"/>
      <c r="D20" s="10" t="n"/>
      <c r="E20" s="10" t="n"/>
      <c r="F20" s="10" t="n"/>
      <c r="G20" s="10" t="n"/>
      <c r="H20" s="10" t="n"/>
      <c r="I20" s="8" t="n"/>
    </row>
    <row r="21" ht="22" customHeight="1">
      <c r="A21" s="9" t="inlineStr">
        <is>
          <t>• GRPO v1 进一步把 SVAMP/ASDiv 提一点，avg 75.53；对应 Exp #7（建议放附录）</t>
        </is>
      </c>
      <c r="B21" s="10" t="n"/>
      <c r="C21" s="10" t="n"/>
      <c r="D21" s="10" t="n"/>
      <c r="E21" s="10" t="n"/>
      <c r="F21" s="10" t="n"/>
      <c r="G21" s="10" t="n"/>
      <c r="H21" s="10" t="n"/>
      <c r="I21" s="8" t="n"/>
    </row>
    <row r="24">
      <c r="A24" s="44" t="inlineStr">
        <is>
          <t>📖 配置详解（给第一次看这张表的人）</t>
        </is>
      </c>
    </row>
    <row r="25" ht="30" customHeight="1">
      <c r="A25" s="45" t="inlineStr">
        <is>
          <t>【这个实验在问什么】</t>
        </is>
      </c>
      <c r="C25" s="46" t="inlineStr">
        <is>
          <t>10 种不同的『数据处理方法』，谁训出来的模型在数学题上更强？</t>
        </is>
      </c>
    </row>
    <row r="26" ht="30" customHeight="1">
      <c r="A26" s="45" t="inlineStr">
        <is>
          <t>【固定不变的】</t>
        </is>
      </c>
      <c r="C26" s="46" t="inlineStr">
        <is>
          <t>基模 Qwen2.5-3B、LoRA 训练配置、5 个评测集，全部一样。</t>
        </is>
      </c>
    </row>
    <row r="27" ht="30" customHeight="1">
      <c r="A27" s="45" t="inlineStr">
        <is>
          <t>【唯一变化的变量】</t>
        </is>
      </c>
      <c r="C27" s="46" t="inlineStr">
        <is>
          <t>只有【用哪份训练数据】不同（每种方法产出自己的一份数据）。</t>
        </is>
      </c>
    </row>
    <row r="29">
      <c r="A29" s="15" t="inlineStr">
        <is>
          <t>本表每个配置是什么意思：</t>
        </is>
      </c>
    </row>
    <row r="30" ht="28" customHeight="1">
      <c r="A30" s="47" t="inlineStr">
        <is>
          <t>LIMA/IFD/SuperFiltering/DEITA/Cherry</t>
        </is>
      </c>
      <c r="B30" s="48" t="n"/>
      <c r="C30" s="49" t="inlineStr">
        <is>
          <t>复现别人论文的『通用』数据选择方法，不针对数学，普遍只有 50-55 分。</t>
        </is>
      </c>
      <c r="D30" s="50" t="n"/>
      <c r="E30" s="50" t="n"/>
      <c r="F30" s="50" t="n"/>
      <c r="G30" s="50" t="n"/>
      <c r="H30" s="48" t="n"/>
    </row>
    <row r="31" ht="28" customHeight="1">
      <c r="A31" s="47" t="inlineStr">
        <is>
          <t>Random 4k / Raw+boxed / Sanity</t>
        </is>
      </c>
      <c r="B31" s="48" t="n"/>
      <c r="C31" s="49" t="inlineStr">
        <is>
          <t>我们自己的内部对照组：随机抽 / 只加格式 / 让Claude直接重写。</t>
        </is>
      </c>
      <c r="D31" s="50" t="n"/>
      <c r="E31" s="50" t="n"/>
      <c r="F31" s="50" t="n"/>
      <c r="G31" s="50" t="n"/>
      <c r="H31" s="48" t="n"/>
    </row>
    <row r="32" ht="28" customHeight="1">
      <c r="A32" s="47" t="inlineStr">
        <is>
          <t>MISD-Sympy-V2</t>
        </is>
      </c>
      <c r="B32" s="48" t="n"/>
      <c r="C32" s="49" t="inlineStr">
        <is>
          <t>本工作主方法（完整三层），75.33，明显赢过通用方法。</t>
        </is>
      </c>
      <c r="D32" s="50" t="n"/>
      <c r="E32" s="50" t="n"/>
      <c r="F32" s="50" t="n"/>
      <c r="G32" s="50" t="n"/>
      <c r="H32" s="48" t="n"/>
    </row>
    <row r="33" ht="28" customHeight="1">
      <c r="A33" s="47" t="inlineStr">
        <is>
          <t>MISD + GRPO v1</t>
        </is>
      </c>
      <c r="B33" s="48" t="n"/>
      <c r="C33" s="49" t="inlineStr">
        <is>
          <t>V2 再加一轮强化学习，75.53。</t>
        </is>
      </c>
      <c r="D33" s="50" t="n"/>
      <c r="E33" s="50" t="n"/>
      <c r="F33" s="50" t="n"/>
      <c r="G33" s="50" t="n"/>
      <c r="H33" s="48" t="n"/>
    </row>
  </sheetData>
  <mergeCells count="24">
    <mergeCell ref="C25:H25"/>
    <mergeCell ref="A30:B30"/>
    <mergeCell ref="A24:H24"/>
    <mergeCell ref="C31:H31"/>
    <mergeCell ref="A18:I18"/>
    <mergeCell ref="A3:I3"/>
    <mergeCell ref="A21:I21"/>
    <mergeCell ref="A2:I2"/>
    <mergeCell ref="A25:B25"/>
    <mergeCell ref="C27:H27"/>
    <mergeCell ref="A17:I17"/>
    <mergeCell ref="A27:B27"/>
    <mergeCell ref="A20:I20"/>
    <mergeCell ref="A26:B26"/>
    <mergeCell ref="C32:H32"/>
    <mergeCell ref="A19:I19"/>
    <mergeCell ref="A33:B33"/>
    <mergeCell ref="A32:B32"/>
    <mergeCell ref="C30:H30"/>
    <mergeCell ref="C33:H33"/>
    <mergeCell ref="A29:H29"/>
    <mergeCell ref="A1:I1"/>
    <mergeCell ref="C26:H26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实验 #2: 三层消融 (Structure / Rewrite / Verify)</t>
        </is>
      </c>
    </row>
    <row r="2">
      <c r="A2" s="2" t="inlineStr">
        <is>
          <t>依次去除 MISD 的每一层，观察对最终模型性能的影响。</t>
        </is>
      </c>
    </row>
    <row r="4">
      <c r="A4" s="3" t="inlineStr">
        <is>
          <t>消融</t>
        </is>
      </c>
      <c r="B4" s="3" t="inlineStr">
        <is>
          <t>方法</t>
        </is>
      </c>
      <c r="C4" s="3" t="inlineStr">
        <is>
          <t>训练样本</t>
        </is>
      </c>
      <c r="D4" s="3" t="inlineStr">
        <is>
          <t>SVAMP</t>
        </is>
      </c>
      <c r="E4" s="3" t="inlineStr">
        <is>
          <t>ASDiv</t>
        </is>
      </c>
      <c r="F4" s="3" t="inlineStr">
        <is>
          <t>AddSub</t>
        </is>
      </c>
      <c r="G4" s="3" t="inlineStr">
        <is>
          <t>MATH500</t>
        </is>
      </c>
      <c r="H4" s="3" t="inlineStr">
        <is>
          <t>GSM8K</t>
        </is>
      </c>
      <c r="I4" s="3" t="inlineStr">
        <is>
          <t>Avg</t>
        </is>
      </c>
    </row>
    <row r="5">
      <c r="A5" s="16" t="inlineStr">
        <is>
          <t>Full</t>
        </is>
      </c>
      <c r="B5" s="5" t="inlineStr">
        <is>
          <t>MISD 三层完整 (V2)</t>
        </is>
      </c>
      <c r="C5" s="4" t="n">
        <v>4692</v>
      </c>
      <c r="D5" s="4" t="n">
        <v>76.8</v>
      </c>
      <c r="E5" s="4" t="n">
        <v>85.31</v>
      </c>
      <c r="F5" s="4" t="n">
        <v>80.76000000000001</v>
      </c>
      <c r="G5" s="4" t="n">
        <v>52.8</v>
      </c>
      <c r="H5" s="4" t="n">
        <v>80.97</v>
      </c>
      <c r="I5" s="6" t="n">
        <v>75.33</v>
      </c>
    </row>
    <row r="6">
      <c r="A6" s="16" t="inlineStr">
        <is>
          <t>- Verify</t>
        </is>
      </c>
      <c r="B6" s="5" t="inlineStr">
        <is>
          <t>P3+P4 only (无 SymPy 过滤)</t>
        </is>
      </c>
      <c r="C6" s="4" t="n">
        <v>4998</v>
      </c>
      <c r="D6" s="4" t="n">
        <v>77</v>
      </c>
      <c r="E6" s="4" t="n">
        <v>92.87</v>
      </c>
      <c r="F6" s="4" t="n">
        <v>76.95999999999999</v>
      </c>
      <c r="G6" s="4" t="n">
        <v>36</v>
      </c>
      <c r="H6" s="4" t="n">
        <v>67.40000000000001</v>
      </c>
      <c r="I6" s="17" t="n">
        <v>70.05</v>
      </c>
    </row>
    <row r="7">
      <c r="A7" s="16" t="inlineStr">
        <is>
          <t>- Rewrite</t>
        </is>
      </c>
      <c r="B7" s="5" t="inlineStr">
        <is>
          <t>只保留 Structure + Verify</t>
        </is>
      </c>
      <c r="C7" s="4" t="n">
        <v>4585</v>
      </c>
      <c r="D7" s="4" t="n">
        <v>63.7</v>
      </c>
      <c r="E7" s="4" t="n">
        <v>81.73999999999999</v>
      </c>
      <c r="F7" s="4" t="n">
        <v>50.38</v>
      </c>
      <c r="G7" s="4" t="n">
        <v>43.6</v>
      </c>
      <c r="H7" s="4" t="n">
        <v>73.16</v>
      </c>
      <c r="I7" s="17" t="n">
        <v>62.52</v>
      </c>
    </row>
    <row r="8">
      <c r="A8" s="16" t="inlineStr">
        <is>
          <t>- Structure</t>
        </is>
      </c>
      <c r="B8" s="5" t="inlineStr">
        <is>
          <t>无 typing，强制 R1-R5</t>
        </is>
      </c>
      <c r="C8" s="4" t="n">
        <v>4351</v>
      </c>
      <c r="D8" s="4" t="n">
        <v>68.7</v>
      </c>
      <c r="E8" s="4" t="n">
        <v>87.59</v>
      </c>
      <c r="F8" s="4" t="n">
        <v>67.09</v>
      </c>
      <c r="G8" s="4" t="n">
        <v>36.2</v>
      </c>
      <c r="H8" s="4" t="n">
        <v>66.64</v>
      </c>
      <c r="I8" s="17" t="n">
        <v>65.23999999999999</v>
      </c>
    </row>
    <row r="11">
      <c r="A11" s="15" t="inlineStr">
        <is>
          <t>解读：</t>
        </is>
      </c>
    </row>
    <row r="12" ht="22" customHeight="1">
      <c r="A12" s="9" t="inlineStr">
        <is>
          <t>• 去 Rewrite (62.52) &gt; 去 Structure (65.24) &gt; 去 Verify (70.05)：三层都有贡献</t>
        </is>
      </c>
      <c r="B12" s="10" t="n"/>
      <c r="C12" s="10" t="n"/>
      <c r="D12" s="10" t="n"/>
      <c r="E12" s="10" t="n"/>
      <c r="F12" s="10" t="n"/>
      <c r="G12" s="10" t="n"/>
      <c r="H12" s="10" t="n"/>
      <c r="I12" s="8" t="n"/>
    </row>
    <row r="13" ht="22" customHeight="1">
      <c r="A13" s="9" t="inlineStr">
        <is>
          <t>• 去 Verify 后 ASDiv 反而冲到 92.87，但 MATH500 崩到 36.00 — Verify 的作用是抑制简单题过拟合</t>
        </is>
      </c>
      <c r="B13" s="10" t="n"/>
      <c r="C13" s="10" t="n"/>
      <c r="D13" s="10" t="n"/>
      <c r="E13" s="10" t="n"/>
      <c r="F13" s="10" t="n"/>
      <c r="G13" s="10" t="n"/>
      <c r="H13" s="10" t="n"/>
      <c r="I13" s="8" t="n"/>
    </row>
    <row r="14" ht="22" customHeight="1">
      <c r="A14" s="9" t="inlineStr">
        <is>
          <t>• 去 Structure 后 SVAMP/AddSub 大跌：强制套规则改写非数学结构问题，破坏文本</t>
        </is>
      </c>
      <c r="B14" s="10" t="n"/>
      <c r="C14" s="10" t="n"/>
      <c r="D14" s="10" t="n"/>
      <c r="E14" s="10" t="n"/>
      <c r="F14" s="10" t="n"/>
      <c r="G14" s="10" t="n"/>
      <c r="H14" s="10" t="n"/>
      <c r="I14" s="8" t="n"/>
    </row>
    <row r="17">
      <c r="A17" s="44" t="inlineStr">
        <is>
          <t>📖 配置详解（给第一次看这张表的人）</t>
        </is>
      </c>
    </row>
    <row r="18" ht="30" customHeight="1">
      <c r="A18" s="45" t="inlineStr">
        <is>
          <t>【这个实验在问什么】</t>
        </is>
      </c>
      <c r="C18" s="46" t="inlineStr">
        <is>
          <t>MISD 的三层（结构/改写/验证）各自贡献多大？把每一层拆掉看掉多少分。</t>
        </is>
      </c>
    </row>
    <row r="19" ht="30" customHeight="1">
      <c r="A19" s="45" t="inlineStr">
        <is>
          <t>【固定不变的】</t>
        </is>
      </c>
      <c r="C19" s="46" t="inlineStr">
        <is>
          <t>基模、训练配置、评测集一样。</t>
        </is>
      </c>
    </row>
    <row r="20" ht="30" customHeight="1">
      <c r="A20" s="45" t="inlineStr">
        <is>
          <t>【唯一变化的变量】</t>
        </is>
      </c>
      <c r="C20" s="46" t="inlineStr">
        <is>
          <t>每行【拿掉一层】，和完整 V2 对比。</t>
        </is>
      </c>
    </row>
    <row r="22">
      <c r="A22" s="15" t="inlineStr">
        <is>
          <t>本表每个配置是什么意思：</t>
        </is>
      </c>
    </row>
    <row r="23" ht="28" customHeight="1">
      <c r="A23" s="47" t="inlineStr">
        <is>
          <t>Full (V2)</t>
        </is>
      </c>
      <c r="B23" s="48" t="n"/>
      <c r="C23" s="49" t="inlineStr">
        <is>
          <t>三层全开，75.33，参照线。</t>
        </is>
      </c>
      <c r="D23" s="50" t="n"/>
      <c r="E23" s="50" t="n"/>
      <c r="F23" s="50" t="n"/>
      <c r="G23" s="50" t="n"/>
      <c r="H23" s="48" t="n"/>
    </row>
    <row r="24" ht="28" customHeight="1">
      <c r="A24" s="47" t="inlineStr">
        <is>
          <t>- Verify</t>
        </is>
      </c>
      <c r="B24" s="48" t="n"/>
      <c r="C24" s="49" t="inlineStr">
        <is>
          <t>拿掉 SymPy 过滤这一层（=P3+P4 only），75.33→70.05，掉最多。</t>
        </is>
      </c>
      <c r="D24" s="50" t="n"/>
      <c r="E24" s="50" t="n"/>
      <c r="F24" s="50" t="n"/>
      <c r="G24" s="50" t="n"/>
      <c r="H24" s="48" t="n"/>
    </row>
    <row r="25" ht="28" customHeight="1">
      <c r="A25" s="47" t="inlineStr">
        <is>
          <t>- Rewrite</t>
        </is>
      </c>
      <c r="B25" s="48" t="n"/>
      <c r="C25" s="49" t="inlineStr">
        <is>
          <t>拿掉 R1-R5 改写，跌到 62.52。</t>
        </is>
      </c>
      <c r="D25" s="50" t="n"/>
      <c r="E25" s="50" t="n"/>
      <c r="F25" s="50" t="n"/>
      <c r="G25" s="50" t="n"/>
      <c r="H25" s="48" t="n"/>
    </row>
    <row r="26" ht="28" customHeight="1">
      <c r="A26" s="47" t="inlineStr">
        <is>
          <t>- Structure</t>
        </is>
      </c>
      <c r="B26" s="48" t="n"/>
      <c r="C26" s="49" t="inlineStr">
        <is>
          <t>不先判断题型、硬套规则，65.24。</t>
        </is>
      </c>
      <c r="D26" s="50" t="n"/>
      <c r="E26" s="50" t="n"/>
      <c r="F26" s="50" t="n"/>
      <c r="G26" s="50" t="n"/>
      <c r="H26" s="48" t="n"/>
    </row>
  </sheetData>
  <mergeCells count="22">
    <mergeCell ref="C25:H25"/>
    <mergeCell ref="A24:B24"/>
    <mergeCell ref="A12:I12"/>
    <mergeCell ref="A2:I2"/>
    <mergeCell ref="A25:B25"/>
    <mergeCell ref="A14:I14"/>
    <mergeCell ref="C23:H23"/>
    <mergeCell ref="A18:B18"/>
    <mergeCell ref="A26:B26"/>
    <mergeCell ref="C19:H19"/>
    <mergeCell ref="A13:I13"/>
    <mergeCell ref="C18:H18"/>
    <mergeCell ref="A23:B23"/>
    <mergeCell ref="A22:H22"/>
    <mergeCell ref="A17:H17"/>
    <mergeCell ref="A20:B20"/>
    <mergeCell ref="C24:H24"/>
    <mergeCell ref="A11:I11"/>
    <mergeCell ref="A19:B19"/>
    <mergeCell ref="A1:I1"/>
    <mergeCell ref="C26:H26"/>
    <mergeCell ref="C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8" customWidth="1" min="10" max="10"/>
  </cols>
  <sheetData>
    <row r="1">
      <c r="A1" s="1" t="inlineStr">
        <is>
          <t>实验 #3: 改写规则消融 R1-R5 leave-one-out + 组合</t>
        </is>
      </c>
    </row>
    <row r="2">
      <c r="A2" s="2" t="inlineStr">
        <is>
          <t>R1 图说明 / R2 单位 / R3 boxed 提示 / R4 正整数声明 / R5 长公式拆分。Base = R1+R2+R3+R4+R5 (P3+P4 only, 无 sympy 过滤)。</t>
        </is>
      </c>
    </row>
    <row r="4">
      <c r="A4" s="3" t="inlineStr">
        <is>
          <t>配置</t>
        </is>
      </c>
      <c r="B4" s="3" t="inlineStr">
        <is>
          <t>样本</t>
        </is>
      </c>
      <c r="C4" s="3" t="inlineStr">
        <is>
          <t>SVAMP</t>
        </is>
      </c>
      <c r="D4" s="3" t="inlineStr">
        <is>
          <t>ASDiv</t>
        </is>
      </c>
      <c r="E4" s="3" t="inlineStr">
        <is>
          <t>AddSub</t>
        </is>
      </c>
      <c r="F4" s="3" t="inlineStr">
        <is>
          <t>MATH500</t>
        </is>
      </c>
      <c r="G4" s="3" t="inlineStr">
        <is>
          <t>GSM8K</t>
        </is>
      </c>
      <c r="H4" s="3" t="inlineStr">
        <is>
          <t>Avg</t>
        </is>
      </c>
      <c r="I4" s="3" t="inlineStr">
        <is>
          <t>vs Base Δ</t>
        </is>
      </c>
      <c r="J4" s="3" t="inlineStr">
        <is>
          <t>备注</t>
        </is>
      </c>
    </row>
    <row r="5">
      <c r="A5" s="12" t="inlineStr">
        <is>
          <t>Base: R1+R2+R3+R4+R5</t>
        </is>
      </c>
      <c r="B5" s="4" t="n">
        <v>4998</v>
      </c>
      <c r="C5" s="4" t="n">
        <v>77</v>
      </c>
      <c r="D5" s="4" t="n">
        <v>92.87</v>
      </c>
      <c r="E5" s="4" t="n">
        <v>76.95999999999999</v>
      </c>
      <c r="F5" s="4" t="n">
        <v>36</v>
      </c>
      <c r="G5" s="4" t="n">
        <v>67.40000000000001</v>
      </c>
      <c r="H5" s="4" t="n">
        <v>70.05</v>
      </c>
      <c r="I5" s="4" t="inlineStr">
        <is>
          <t>—</t>
        </is>
      </c>
      <c r="J5" s="5" t="inlineStr">
        <is>
          <t>基线（P3+P4 only）</t>
        </is>
      </c>
    </row>
    <row r="6">
      <c r="A6" s="12" t="inlineStr">
        <is>
          <t>− R1 (去图说明)</t>
        </is>
      </c>
      <c r="B6" s="4" t="n">
        <v>4998</v>
      </c>
      <c r="C6" s="4" t="n">
        <v>75.90000000000001</v>
      </c>
      <c r="D6" s="4" t="n">
        <v>92.58</v>
      </c>
      <c r="E6" s="4" t="n">
        <v>81.77</v>
      </c>
      <c r="F6" s="4" t="n">
        <v>38.4</v>
      </c>
      <c r="G6" s="4" t="n">
        <v>68.45999999999999</v>
      </c>
      <c r="H6" s="4" t="n">
        <v>71.42</v>
      </c>
      <c r="I6" s="6" t="n">
        <v>1.37</v>
      </c>
      <c r="J6" s="5" t="inlineStr">
        <is>
          <t>AddSub/MATH500 略升</t>
        </is>
      </c>
    </row>
    <row r="7">
      <c r="A7" s="12" t="inlineStr">
        <is>
          <t>− R2 (去单位标注)</t>
        </is>
      </c>
      <c r="B7" s="4" t="n">
        <v>4998</v>
      </c>
      <c r="C7" s="4" t="n">
        <v>75.09999999999999</v>
      </c>
      <c r="D7" s="4" t="n">
        <v>91.58</v>
      </c>
      <c r="E7" s="4" t="n">
        <v>77.47</v>
      </c>
      <c r="F7" s="4" t="n">
        <v>36</v>
      </c>
      <c r="G7" s="4" t="n">
        <v>68.31</v>
      </c>
      <c r="H7" s="4" t="n">
        <v>69.69</v>
      </c>
      <c r="I7" s="4" t="n">
        <v>-0.36</v>
      </c>
      <c r="J7" s="5" t="inlineStr">
        <is>
          <t>持平</t>
        </is>
      </c>
    </row>
    <row r="8">
      <c r="A8" s="12" t="inlineStr">
        <is>
          <t>− R3 (去 boxed 提示) ⚠</t>
        </is>
      </c>
      <c r="B8" s="4" t="n">
        <v>4998</v>
      </c>
      <c r="C8" s="4" t="n">
        <v>72.7</v>
      </c>
      <c r="D8" s="4" t="n">
        <v>89.87</v>
      </c>
      <c r="E8" s="4" t="n">
        <v>73.67</v>
      </c>
      <c r="F8" s="4" t="n">
        <v>38</v>
      </c>
      <c r="G8" s="4" t="n">
        <v>67.55</v>
      </c>
      <c r="H8" s="4" t="n">
        <v>68.36</v>
      </c>
      <c r="I8" s="17" t="n">
        <v>-1.69</v>
      </c>
      <c r="J8" s="5" t="inlineStr">
        <is>
          <t>全面下降 — R3 是核心</t>
        </is>
      </c>
    </row>
    <row r="9">
      <c r="A9" s="12" t="inlineStr">
        <is>
          <t>− R4 (去正整数声明)</t>
        </is>
      </c>
      <c r="B9" s="4" t="n">
        <v>4998</v>
      </c>
      <c r="C9" s="4" t="n">
        <v>77.3</v>
      </c>
      <c r="D9" s="4" t="n">
        <v>92.58</v>
      </c>
      <c r="E9" s="4" t="n">
        <v>83.8</v>
      </c>
      <c r="F9" s="4" t="n">
        <v>38.4</v>
      </c>
      <c r="G9" s="4" t="n">
        <v>67.48</v>
      </c>
      <c r="H9" s="4" t="n">
        <v>71.91</v>
      </c>
      <c r="I9" s="6" t="n">
        <v>1.86</v>
      </c>
      <c r="J9" s="5" t="inlineStr">
        <is>
          <t>AddSub 涨 +6.84</t>
        </is>
      </c>
    </row>
    <row r="10">
      <c r="A10" s="12" t="inlineStr">
        <is>
          <t>− R5 (去长公式拆分)</t>
        </is>
      </c>
      <c r="B10" s="4" t="n">
        <v>4998</v>
      </c>
      <c r="C10" s="4" t="n">
        <v>78.3</v>
      </c>
      <c r="D10" s="4" t="n">
        <v>92.15000000000001</v>
      </c>
      <c r="E10" s="4" t="n">
        <v>81.27</v>
      </c>
      <c r="F10" s="4" t="n">
        <v>35.8</v>
      </c>
      <c r="G10" s="4" t="n">
        <v>67.63</v>
      </c>
      <c r="H10" s="4" t="n">
        <v>71.03</v>
      </c>
      <c r="I10" s="6" t="n">
        <v>0.98</v>
      </c>
      <c r="J10" s="5" t="inlineStr">
        <is>
          <t>持平</t>
        </is>
      </c>
    </row>
    <row r="11">
      <c r="A11" s="12" t="inlineStr">
        <is>
          <t>Only R2+R3</t>
        </is>
      </c>
      <c r="B11" s="4" t="n">
        <v>4998</v>
      </c>
      <c r="C11" s="4" t="n">
        <v>79</v>
      </c>
      <c r="D11" s="4" t="n">
        <v>92.44</v>
      </c>
      <c r="E11" s="4" t="n">
        <v>82.78</v>
      </c>
      <c r="F11" s="4" t="n">
        <v>37.4</v>
      </c>
      <c r="G11" s="4" t="n">
        <v>61.64</v>
      </c>
      <c r="H11" s="4" t="n">
        <v>70.65000000000001</v>
      </c>
      <c r="I11" s="6" t="n">
        <v>0.6</v>
      </c>
      <c r="J11" s="5" t="inlineStr">
        <is>
          <t>近 Base，但 GSM8K 跌</t>
        </is>
      </c>
    </row>
    <row r="12">
      <c r="A12" s="12" t="inlineStr">
        <is>
          <t>− R4 + SymPy 过滤</t>
        </is>
      </c>
      <c r="B12" s="4" t="n">
        <v>4458</v>
      </c>
      <c r="C12" s="4" t="n">
        <v>78.7</v>
      </c>
      <c r="D12" s="4" t="n">
        <v>91.58</v>
      </c>
      <c r="E12" s="4" t="n">
        <v>84.81</v>
      </c>
      <c r="F12" s="4" t="n">
        <v>35.8</v>
      </c>
      <c r="G12" s="4" t="n">
        <v>66.79000000000001</v>
      </c>
      <c r="H12" s="4" t="n">
        <v>71.54000000000001</v>
      </c>
      <c r="I12" s="6" t="n">
        <v>1.49</v>
      </c>
      <c r="J12" s="5" t="inlineStr">
        <is>
          <t>AddSub 顶峰 84.81</t>
        </is>
      </c>
    </row>
    <row r="13">
      <c r="A13" s="12" t="inlineStr">
        <is>
          <t>Selective 分流</t>
        </is>
      </c>
      <c r="B13" s="4" t="n">
        <v>4998</v>
      </c>
      <c r="C13" s="4" t="n">
        <v>76.3</v>
      </c>
      <c r="D13" s="4" t="n">
        <v>93.15000000000001</v>
      </c>
      <c r="E13" s="4" t="n">
        <v>81.77</v>
      </c>
      <c r="F13" s="4" t="n">
        <v>37</v>
      </c>
      <c r="G13" s="4" t="n">
        <v>67.63</v>
      </c>
      <c r="H13" s="4" t="n">
        <v>71.17</v>
      </c>
      <c r="I13" s="6" t="n">
        <v>1.12</v>
      </c>
      <c r="J13" s="5" t="inlineStr">
        <is>
          <t>词题/形式题分路径</t>
        </is>
      </c>
    </row>
    <row r="14">
      <c r="A14" s="12" t="inlineStr">
        <is>
          <t>Augment (R2+R3 增强)</t>
        </is>
      </c>
      <c r="B14" s="4" t="n">
        <v>8121</v>
      </c>
      <c r="C14" s="4" t="n">
        <v>78.3</v>
      </c>
      <c r="D14" s="4" t="n">
        <v>89.73</v>
      </c>
      <c r="E14" s="4" t="n">
        <v>84.56</v>
      </c>
      <c r="F14" s="4" t="n">
        <v>36</v>
      </c>
      <c r="G14" s="4" t="n">
        <v>66.11</v>
      </c>
      <c r="H14" s="4" t="n">
        <v>70.94</v>
      </c>
      <c r="I14" s="6" t="n">
        <v>0.89</v>
      </c>
      <c r="J14" s="5" t="inlineStr">
        <is>
          <t>数据量翻倍但 GSM8K 跌</t>
        </is>
      </c>
    </row>
    <row r="16">
      <c r="A16" s="15" t="inlineStr">
        <is>
          <t>解读：</t>
        </is>
      </c>
    </row>
    <row r="17" ht="22" customHeight="1">
      <c r="A17" s="9" t="inlineStr">
        <is>
          <t>• R3 (boxed 提示) 是核心：去 R3 跌 1.69 个点；R3 控制 "答案输出格式"，对模型 extraction 至关重要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8" t="n"/>
    </row>
    <row r="18" ht="22" customHeight="1">
      <c r="A18" s="9" t="inlineStr">
        <is>
          <t>• R1/R4/R5 个体去掉反而轻微上升 — 这 3 条规则触发频率低、带噪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8" t="n"/>
    </row>
    <row r="19" ht="22" customHeight="1">
      <c r="A19" s="9" t="inlineStr">
        <is>
          <t>• Only R2+R3 (70.65) ≈ Base (70.05)：证明 R3+R2 即达大部分性能；R1/R4/R5 可去除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8" t="n"/>
    </row>
    <row r="22">
      <c r="A22" s="44" t="inlineStr">
        <is>
          <t>📖 配置详解（给第一次看这张表的人）</t>
        </is>
      </c>
    </row>
    <row r="23" ht="30" customHeight="1">
      <c r="A23" s="45" t="inlineStr">
        <is>
          <t>【这个实验在问什么】</t>
        </is>
      </c>
      <c r="C23" s="46" t="inlineStr">
        <is>
          <t>改写的 5 条规则 R1-R5，哪条真有用、哪条是负贡献？</t>
        </is>
      </c>
    </row>
    <row r="24" ht="30" customHeight="1">
      <c r="A24" s="45" t="inlineStr">
        <is>
          <t>【固定不变的】</t>
        </is>
      </c>
      <c r="C24" s="46" t="inlineStr">
        <is>
          <t>基模、训练配置、评测集一样；基线是 R1-R5 全开(无过滤)。</t>
        </is>
      </c>
    </row>
    <row r="25" ht="30" customHeight="1">
      <c r="A25" s="45" t="inlineStr">
        <is>
          <t>【唯一变化的变量】</t>
        </is>
      </c>
      <c r="C25" s="46" t="inlineStr">
        <is>
          <t>每行【去掉一条规则】(leave-one-out) 或换组合，看相对基线的 Δ。</t>
        </is>
      </c>
    </row>
    <row r="27">
      <c r="A27" s="15" t="inlineStr">
        <is>
          <t>本表每个配置是什么意思：</t>
        </is>
      </c>
    </row>
    <row r="28" ht="28" customHeight="1">
      <c r="A28" s="47" t="inlineStr">
        <is>
          <t>Base R1+R2+R3+R4+R5</t>
        </is>
      </c>
      <c r="B28" s="48" t="n"/>
      <c r="C28" s="49" t="inlineStr">
        <is>
          <t>5 条全开，70.05，参照线。</t>
        </is>
      </c>
      <c r="D28" s="50" t="n"/>
      <c r="E28" s="50" t="n"/>
      <c r="F28" s="50" t="n"/>
      <c r="G28" s="50" t="n"/>
      <c r="H28" s="48" t="n"/>
    </row>
    <row r="29" ht="28" customHeight="1">
      <c r="A29" s="47" t="inlineStr">
        <is>
          <t>−R3</t>
        </is>
      </c>
      <c r="B29" s="48" t="n"/>
      <c r="C29" s="49" t="inlineStr">
        <is>
          <t>去掉『加 boxed 提示』掉最多 → R3 是唯一明显有用的规则。</t>
        </is>
      </c>
      <c r="D29" s="50" t="n"/>
      <c r="E29" s="50" t="n"/>
      <c r="F29" s="50" t="n"/>
      <c r="G29" s="50" t="n"/>
      <c r="H29" s="48" t="n"/>
    </row>
    <row r="30" ht="28" customHeight="1">
      <c r="A30" s="47" t="inlineStr">
        <is>
          <t>−R1 / −R4 / −R5</t>
        </is>
      </c>
      <c r="B30" s="48" t="n"/>
      <c r="C30" s="49" t="inlineStr">
        <is>
          <t>去掉反而略升或持平 → 这三条规则贡献为负或可有可无。</t>
        </is>
      </c>
      <c r="D30" s="50" t="n"/>
      <c r="E30" s="50" t="n"/>
      <c r="F30" s="50" t="n"/>
      <c r="G30" s="50" t="n"/>
      <c r="H30" s="48" t="n"/>
    </row>
    <row r="31" ht="28" customHeight="1">
      <c r="A31" s="47" t="inlineStr">
        <is>
          <t>Only R2+R3</t>
        </is>
      </c>
      <c r="B31" s="48" t="n"/>
      <c r="C31" s="49" t="inlineStr">
        <is>
          <t>只留 R2+R3，约等于全开，说明可以大幅简化。</t>
        </is>
      </c>
      <c r="D31" s="50" t="n"/>
      <c r="E31" s="50" t="n"/>
      <c r="F31" s="50" t="n"/>
      <c r="G31" s="50" t="n"/>
      <c r="H31" s="48" t="n"/>
    </row>
  </sheetData>
  <mergeCells count="22">
    <mergeCell ref="C25:H25"/>
    <mergeCell ref="A24:B24"/>
    <mergeCell ref="A30:B30"/>
    <mergeCell ref="A17:J17"/>
    <mergeCell ref="C31:H31"/>
    <mergeCell ref="A19:J19"/>
    <mergeCell ref="A25:B25"/>
    <mergeCell ref="C23:H23"/>
    <mergeCell ref="A27:H27"/>
    <mergeCell ref="A1:J1"/>
    <mergeCell ref="C28:H28"/>
    <mergeCell ref="A23:B23"/>
    <mergeCell ref="A16:J16"/>
    <mergeCell ref="C30:H30"/>
    <mergeCell ref="A22:H22"/>
    <mergeCell ref="C24:H24"/>
    <mergeCell ref="A29:B29"/>
    <mergeCell ref="A18:J18"/>
    <mergeCell ref="A28:B28"/>
    <mergeCell ref="A2:J2"/>
    <mergeCell ref="A31:B31"/>
    <mergeCell ref="C29:H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14" customWidth="1" min="8" max="8"/>
    <col width="32" customWidth="1" min="9" max="9"/>
  </cols>
  <sheetData>
    <row r="1">
      <c r="A1" s="1" t="inlineStr">
        <is>
          <t>实验 #4: 改写后数据结构统计</t>
        </is>
      </c>
    </row>
    <row r="2">
      <c r="A2" s="2" t="inlineStr">
        <is>
          <t>对每个数据集统计 instruction 结构特征。验证 MISD 是 "只加不删"（structural preservation）。</t>
        </is>
      </c>
    </row>
    <row r="4">
      <c r="A4" s="3" t="inlineStr">
        <is>
          <t>数据集</t>
        </is>
      </c>
      <c r="B4" s="3" t="inlineStr">
        <is>
          <t>样本数</t>
        </is>
      </c>
      <c r="C4" s="3" t="inlineStr">
        <is>
          <t>指令均长</t>
        </is>
      </c>
      <c r="D4" s="3" t="inlineStr">
        <is>
          <t>LaTeX%</t>
        </is>
      </c>
      <c r="E4" s="3" t="inlineStr">
        <is>
          <t>boxed提示%</t>
        </is>
      </c>
      <c r="F4" s="3" t="inlineStr">
        <is>
          <t>MCQ%</t>
        </is>
      </c>
      <c r="G4" s="3" t="inlineStr">
        <is>
          <t>含图%</t>
        </is>
      </c>
      <c r="H4" s="3" t="inlineStr">
        <is>
          <t>正整数声明%</t>
        </is>
      </c>
      <c r="I4" s="3" t="inlineStr">
        <is>
          <t>备注</t>
        </is>
      </c>
    </row>
    <row r="5">
      <c r="A5" s="12" t="inlineStr">
        <is>
          <t>Raw 5000</t>
        </is>
      </c>
      <c r="B5" s="4" t="n">
        <v>4998</v>
      </c>
      <c r="C5" s="4" t="n">
        <v>209.6</v>
      </c>
      <c r="D5" s="4" t="n">
        <v>5</v>
      </c>
      <c r="E5" s="4" t="n">
        <v>0</v>
      </c>
      <c r="F5" s="4" t="n">
        <v>0</v>
      </c>
      <c r="G5" s="4" t="n">
        <v>9.4</v>
      </c>
      <c r="H5" s="4" t="n">
        <v>8</v>
      </c>
      <c r="I5" s="5" t="inlineStr">
        <is>
          <t>原始 5000 题</t>
        </is>
      </c>
    </row>
    <row r="6">
      <c r="A6" s="12" t="inlineStr">
        <is>
          <t>Raw + boxed 后缀</t>
        </is>
      </c>
      <c r="B6" s="4" t="n">
        <v>4998</v>
      </c>
      <c r="C6" s="4" t="n">
        <v>249.6</v>
      </c>
      <c r="D6" s="4" t="n">
        <v>5</v>
      </c>
      <c r="E6" s="4" t="n">
        <v>100</v>
      </c>
      <c r="F6" s="4" t="n">
        <v>0</v>
      </c>
      <c r="G6" s="4" t="n">
        <v>9.4</v>
      </c>
      <c r="H6" s="4" t="n">
        <v>8</v>
      </c>
      <c r="I6" s="5" t="inlineStr">
        <is>
          <t>对照组（仅加后缀）</t>
        </is>
      </c>
    </row>
    <row r="7">
      <c r="A7" s="12" t="inlineStr">
        <is>
          <t>Sanity (Claude)</t>
        </is>
      </c>
      <c r="B7" s="4" t="n">
        <v>4998</v>
      </c>
      <c r="C7" s="4" t="n">
        <v>184.2</v>
      </c>
      <c r="D7" s="4" t="n">
        <v>4.7</v>
      </c>
      <c r="E7" s="4" t="n">
        <v>0</v>
      </c>
      <c r="F7" s="4" t="n">
        <v>0</v>
      </c>
      <c r="G7" s="17" t="n">
        <v>4.2</v>
      </c>
      <c r="H7" s="4" t="n">
        <v>7.9</v>
      </c>
      <c r="I7" s="5" t="inlineStr">
        <is>
          <t>图占比从 9.4→4.2（重写时丢失）</t>
        </is>
      </c>
    </row>
    <row r="8">
      <c r="A8" s="12" t="inlineStr">
        <is>
          <t>MISD V2 (Sympy)</t>
        </is>
      </c>
      <c r="B8" s="4" t="n">
        <v>4692</v>
      </c>
      <c r="C8" s="4" t="n">
        <v>220.9</v>
      </c>
      <c r="D8" s="4" t="n">
        <v>4.8</v>
      </c>
      <c r="E8" s="6" t="n">
        <v>100</v>
      </c>
      <c r="F8" s="4" t="n">
        <v>0</v>
      </c>
      <c r="G8" s="4" t="n">
        <v>3.7</v>
      </c>
      <c r="H8" s="4" t="n">
        <v>8</v>
      </c>
      <c r="I8" s="5" t="inlineStr">
        <is>
          <t>完整 MISD（含 SymPy 过滤）</t>
        </is>
      </c>
    </row>
    <row r="9">
      <c r="A9" s="12" t="inlineStr">
        <is>
          <t>MISD R2+R3 only</t>
        </is>
      </c>
      <c r="B9" s="4" t="n">
        <v>4998</v>
      </c>
      <c r="C9" s="4" t="n">
        <v>200.8</v>
      </c>
      <c r="D9" s="4" t="n">
        <v>5</v>
      </c>
      <c r="E9" s="4" t="n">
        <v>81.7</v>
      </c>
      <c r="F9" s="4" t="n">
        <v>0</v>
      </c>
      <c r="G9" s="4" t="n">
        <v>5.2</v>
      </c>
      <c r="H9" s="4" t="n">
        <v>8</v>
      </c>
      <c r="I9" s="5" t="inlineStr">
        <is>
          <t>仅 R2 + R3 触发</t>
        </is>
      </c>
    </row>
    <row r="10">
      <c r="A10" s="12" t="inlineStr">
        <is>
          <t>MISD no-Rewrite</t>
        </is>
      </c>
      <c r="B10" s="4" t="n">
        <v>4585</v>
      </c>
      <c r="C10" s="4" t="n">
        <v>234.8</v>
      </c>
      <c r="D10" s="4" t="n">
        <v>5.1</v>
      </c>
      <c r="E10" s="4" t="n">
        <v>100</v>
      </c>
      <c r="F10" s="4" t="n">
        <v>0</v>
      </c>
      <c r="G10" s="4" t="n">
        <v>7.9</v>
      </c>
      <c r="H10" s="4" t="n">
        <v>7.6</v>
      </c>
      <c r="I10" s="5" t="inlineStr">
        <is>
          <t>只保留 Structure + Verify</t>
        </is>
      </c>
    </row>
    <row r="11">
      <c r="A11" s="12" t="inlineStr">
        <is>
          <t>MISD no-Structure</t>
        </is>
      </c>
      <c r="B11" s="4" t="n">
        <v>4351</v>
      </c>
      <c r="C11" s="4" t="n">
        <v>224.7</v>
      </c>
      <c r="D11" s="4" t="n">
        <v>5.1</v>
      </c>
      <c r="E11" s="4" t="n">
        <v>0.1</v>
      </c>
      <c r="F11" s="4" t="n">
        <v>0</v>
      </c>
      <c r="G11" s="4" t="n">
        <v>5.3</v>
      </c>
      <c r="H11" s="17" t="n">
        <v>57.6</v>
      </c>
      <c r="I11" s="5" t="inlineStr">
        <is>
          <t>无 typing → 错误注入 57.6% 正整数声明</t>
        </is>
      </c>
    </row>
    <row r="12">
      <c r="A12" s="12" t="inlineStr">
        <is>
          <t>MISD Augment</t>
        </is>
      </c>
      <c r="B12" s="4" t="n">
        <v>8121</v>
      </c>
      <c r="C12" s="4" t="n">
        <v>223</v>
      </c>
      <c r="D12" s="4" t="n">
        <v>4.3</v>
      </c>
      <c r="E12" s="4" t="n">
        <v>91.8</v>
      </c>
      <c r="F12" s="4" t="n">
        <v>0</v>
      </c>
      <c r="G12" s="4" t="n">
        <v>4.2</v>
      </c>
      <c r="H12" s="4" t="n">
        <v>19.1</v>
      </c>
      <c r="I12" s="5" t="inlineStr">
        <is>
          <t>R2+R3 + 增强版</t>
        </is>
      </c>
    </row>
    <row r="13">
      <c r="A13" s="12" t="inlineStr">
        <is>
          <t>MISD Selective</t>
        </is>
      </c>
      <c r="B13" s="4" t="n">
        <v>4998</v>
      </c>
      <c r="C13" s="4" t="n">
        <v>200.8</v>
      </c>
      <c r="D13" s="4" t="n">
        <v>5</v>
      </c>
      <c r="E13" s="4" t="n">
        <v>90.7</v>
      </c>
      <c r="F13" s="4" t="n">
        <v>0</v>
      </c>
      <c r="G13" s="4" t="n">
        <v>5</v>
      </c>
      <c r="H13" s="4" t="n">
        <v>8</v>
      </c>
      <c r="I13" s="5" t="inlineStr">
        <is>
          <t>词题/形式题分流</t>
        </is>
      </c>
    </row>
    <row r="15">
      <c r="A15" s="15" t="inlineStr">
        <is>
          <t>解读：</t>
        </is>
      </c>
    </row>
    <row r="16" ht="36" customHeight="1">
      <c r="A16" s="9" t="inlineStr">
        <is>
          <t>• MISD V2 把 boxed 提示 0→100%（最重要的格式信号），同时 LaTeX/MCQ 等结构 100% 保留 — "只加不删"</t>
        </is>
      </c>
      <c r="B16" s="10" t="n"/>
      <c r="C16" s="10" t="n"/>
      <c r="D16" s="10" t="n"/>
      <c r="E16" s="10" t="n"/>
      <c r="F16" s="10" t="n"/>
      <c r="G16" s="10" t="n"/>
      <c r="H16" s="10" t="n"/>
      <c r="I16" s="8" t="n"/>
    </row>
    <row r="17" ht="36" customHeight="1">
      <c r="A17" s="9" t="inlineStr">
        <is>
          <t>• Sanity (Claude) 重写过程中含图占比 9.4→4.2 — 无结构感知重写的典型问题（图说明被丢）</t>
        </is>
      </c>
      <c r="B17" s="10" t="n"/>
      <c r="C17" s="10" t="n"/>
      <c r="D17" s="10" t="n"/>
      <c r="E17" s="10" t="n"/>
      <c r="F17" s="10" t="n"/>
      <c r="G17" s="10" t="n"/>
      <c r="H17" s="10" t="n"/>
      <c r="I17" s="8" t="n"/>
    </row>
    <row r="18" ht="36" customHeight="1">
      <c r="A18" s="9" t="inlineStr">
        <is>
          <t>• MISD no-Structure 错误把正整数声明注入 57.6% 样本（大多并非整数题）— 证明 Structure 层不可或缺</t>
        </is>
      </c>
      <c r="B18" s="10" t="n"/>
      <c r="C18" s="10" t="n"/>
      <c r="D18" s="10" t="n"/>
      <c r="E18" s="10" t="n"/>
      <c r="F18" s="10" t="n"/>
      <c r="G18" s="10" t="n"/>
      <c r="H18" s="10" t="n"/>
      <c r="I18" s="8" t="n"/>
    </row>
    <row r="21">
      <c r="A21" s="44" t="inlineStr">
        <is>
          <t>📖 配置详解（给第一次看这张表的人）</t>
        </is>
      </c>
    </row>
    <row r="22" ht="30" customHeight="1">
      <c r="A22" s="45" t="inlineStr">
        <is>
          <t>【这个实验在问什么】</t>
        </is>
      </c>
      <c r="C22" s="46" t="inlineStr">
        <is>
          <t>MISD 改写后的数据，结构上有没有被破坏？（不是看分数，是看数据本身）</t>
        </is>
      </c>
    </row>
    <row r="23" ht="30" customHeight="1">
      <c r="A23" s="45" t="inlineStr">
        <is>
          <t>【固定不变的】</t>
        </is>
      </c>
      <c r="C23" s="46" t="inlineStr">
        <is>
          <t>统计口径一样。</t>
        </is>
      </c>
    </row>
    <row r="24" ht="30" customHeight="1">
      <c r="A24" s="45" t="inlineStr">
        <is>
          <t>【唯一变化的变量】</t>
        </is>
      </c>
      <c r="C24" s="46" t="inlineStr">
        <is>
          <t>每行是【一份不同的数据集】，统计它的结构特征占比。</t>
        </is>
      </c>
    </row>
    <row r="26">
      <c r="A26" s="15" t="inlineStr">
        <is>
          <t>本表每个配置是什么意思：</t>
        </is>
      </c>
    </row>
    <row r="27" ht="28" customHeight="1">
      <c r="A27" s="47" t="inlineStr">
        <is>
          <t>Sanity (Claude)</t>
        </is>
      </c>
      <c r="B27" s="48" t="n"/>
      <c r="C27" s="49" t="inlineStr">
        <is>
          <t>直接让Claude重写：含图占比从 9.4%→4.2%，说明朴素重写会把图丢掉。</t>
        </is>
      </c>
      <c r="D27" s="50" t="n"/>
      <c r="E27" s="50" t="n"/>
      <c r="F27" s="50" t="n"/>
      <c r="G27" s="50" t="n"/>
      <c r="H27" s="48" t="n"/>
    </row>
    <row r="28" ht="28" customHeight="1">
      <c r="A28" s="47" t="inlineStr">
        <is>
          <t>MISD V2</t>
        </is>
      </c>
      <c r="B28" s="48" t="n"/>
      <c r="C28" s="49" t="inlineStr">
        <is>
          <t>boxed提示 0→100%，其它结构 100% 保留 → 只增强不破坏。</t>
        </is>
      </c>
      <c r="D28" s="50" t="n"/>
      <c r="E28" s="50" t="n"/>
      <c r="F28" s="50" t="n"/>
      <c r="G28" s="50" t="n"/>
      <c r="H28" s="48" t="n"/>
    </row>
    <row r="29" ht="28" customHeight="1">
      <c r="A29" s="47" t="inlineStr">
        <is>
          <t>MISD no-Structure</t>
        </is>
      </c>
      <c r="B29" s="48" t="n"/>
      <c r="C29" s="49" t="inlineStr">
        <is>
          <t>不判断题型硬套规则，错误地给 57.6% 的题加了『正整数』声明。</t>
        </is>
      </c>
      <c r="D29" s="50" t="n"/>
      <c r="E29" s="50" t="n"/>
      <c r="F29" s="50" t="n"/>
      <c r="G29" s="50" t="n"/>
      <c r="H29" s="48" t="n"/>
    </row>
  </sheetData>
  <mergeCells count="20">
    <mergeCell ref="A24:B24"/>
    <mergeCell ref="C22:H22"/>
    <mergeCell ref="A18:I18"/>
    <mergeCell ref="A2:I2"/>
    <mergeCell ref="C27:H27"/>
    <mergeCell ref="C23:H23"/>
    <mergeCell ref="A17:I17"/>
    <mergeCell ref="A27:B27"/>
    <mergeCell ref="A26:H26"/>
    <mergeCell ref="A21:H21"/>
    <mergeCell ref="C28:H28"/>
    <mergeCell ref="A23:B23"/>
    <mergeCell ref="A22:B22"/>
    <mergeCell ref="A15:I15"/>
    <mergeCell ref="C24:H24"/>
    <mergeCell ref="A29:B29"/>
    <mergeCell ref="A28:B28"/>
    <mergeCell ref="A1:I1"/>
    <mergeCell ref="C29:H29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4" customWidth="1" min="5" max="5"/>
    <col width="13" customWidth="1" min="6" max="6"/>
    <col width="12" customWidth="1" min="7" max="7"/>
  </cols>
  <sheetData>
    <row r="1">
      <c r="A1" s="1" t="inlineStr">
        <is>
          <t>实验 #5: 错误类型分析（Sanity / V2 / GRPO-v1 对比）</t>
        </is>
      </c>
    </row>
    <row r="2">
      <c r="A2" s="2" t="inlineStr">
        <is>
          <t>分类：correct / extraction_failure (无可提取答案) / format_issue (boxed 残留) / comp_close (差&lt;10%) / comp_far。所有数字 = 占比 %。</t>
        </is>
      </c>
    </row>
    <row r="4">
      <c r="A4" s="3" t="inlineStr">
        <is>
          <t>模型</t>
        </is>
      </c>
      <c r="B4" s="3" t="inlineStr">
        <is>
          <t>Benchmark</t>
        </is>
      </c>
      <c r="C4" s="3" t="inlineStr">
        <is>
          <t>correct</t>
        </is>
      </c>
      <c r="D4" s="3" t="inlineStr">
        <is>
          <t>extraction_failure</t>
        </is>
      </c>
      <c r="E4" s="3" t="inlineStr">
        <is>
          <t>format_issue</t>
        </is>
      </c>
      <c r="F4" s="3" t="inlineStr">
        <is>
          <t>comp_close</t>
        </is>
      </c>
      <c r="G4" s="3" t="inlineStr">
        <is>
          <t>comp_far</t>
        </is>
      </c>
    </row>
    <row r="5">
      <c r="A5" s="16" t="inlineStr">
        <is>
          <t>Sanity</t>
        </is>
      </c>
      <c r="B5" s="4" t="inlineStr">
        <is>
          <t>SVAMP</t>
        </is>
      </c>
      <c r="C5" s="4" t="n">
        <v>75.8</v>
      </c>
      <c r="D5" s="4" t="n">
        <v>0</v>
      </c>
      <c r="E5" s="4" t="n">
        <v>1.6</v>
      </c>
      <c r="F5" s="4" t="n">
        <v>1.5</v>
      </c>
      <c r="G5" s="4" t="n">
        <v>21.1</v>
      </c>
    </row>
    <row r="6">
      <c r="A6" s="4" t="inlineStr"/>
      <c r="B6" s="4" t="inlineStr">
        <is>
          <t>ASDiv</t>
        </is>
      </c>
      <c r="C6" s="4" t="n">
        <v>84</v>
      </c>
      <c r="D6" s="4" t="n">
        <v>6.4</v>
      </c>
      <c r="E6" s="4" t="n">
        <v>0.3</v>
      </c>
      <c r="F6" s="4" t="n">
        <v>1</v>
      </c>
      <c r="G6" s="4" t="n">
        <v>8.300000000000001</v>
      </c>
    </row>
    <row r="7">
      <c r="A7" s="4" t="inlineStr"/>
      <c r="B7" s="4" t="inlineStr">
        <is>
          <t>AddSub</t>
        </is>
      </c>
      <c r="C7" s="4" t="n">
        <v>80</v>
      </c>
      <c r="D7" s="4" t="n">
        <v>10.6</v>
      </c>
      <c r="E7" s="4" t="n">
        <v>2</v>
      </c>
      <c r="F7" s="4" t="n">
        <v>2.3</v>
      </c>
      <c r="G7" s="4" t="n">
        <v>5.1</v>
      </c>
    </row>
    <row r="8">
      <c r="A8" s="4" t="inlineStr"/>
      <c r="B8" s="4" t="inlineStr">
        <is>
          <t>MATH500</t>
        </is>
      </c>
      <c r="C8" s="4" t="n">
        <v>52.8</v>
      </c>
      <c r="D8" s="4" t="n">
        <v>0</v>
      </c>
      <c r="E8" s="4" t="n">
        <v>8.4</v>
      </c>
      <c r="F8" s="4" t="n">
        <v>3.4</v>
      </c>
      <c r="G8" s="4" t="n">
        <v>35.4</v>
      </c>
    </row>
    <row r="9">
      <c r="A9" s="4" t="inlineStr"/>
      <c r="B9" s="4" t="inlineStr">
        <is>
          <t>GSM8K</t>
        </is>
      </c>
      <c r="C9" s="4" t="n">
        <v>76.3</v>
      </c>
      <c r="D9" s="4" t="n">
        <v>0</v>
      </c>
      <c r="E9" s="4" t="n">
        <v>3.3</v>
      </c>
      <c r="F9" s="4" t="n">
        <v>2.2</v>
      </c>
      <c r="G9" s="4" t="n">
        <v>18.2</v>
      </c>
    </row>
    <row r="10">
      <c r="A10" s="16" t="inlineStr">
        <is>
          <t>MISD-V2</t>
        </is>
      </c>
      <c r="B10" s="4" t="inlineStr">
        <is>
          <t>SVAMP</t>
        </is>
      </c>
      <c r="C10" s="4" t="n">
        <v>76.8</v>
      </c>
      <c r="D10" s="4" t="n">
        <v>0</v>
      </c>
      <c r="E10" s="4" t="n">
        <v>3.6</v>
      </c>
      <c r="F10" s="4" t="n">
        <v>1.5</v>
      </c>
      <c r="G10" s="4" t="n">
        <v>18.1</v>
      </c>
    </row>
    <row r="11">
      <c r="A11" s="4" t="inlineStr"/>
      <c r="B11" s="4" t="inlineStr">
        <is>
          <t>ASDiv</t>
        </is>
      </c>
      <c r="C11" s="4" t="n">
        <v>85.3</v>
      </c>
      <c r="D11" s="4" t="n">
        <v>5.7</v>
      </c>
      <c r="E11" s="4" t="n">
        <v>0.3</v>
      </c>
      <c r="F11" s="4" t="n">
        <v>0.9</v>
      </c>
      <c r="G11" s="4" t="n">
        <v>7.8</v>
      </c>
    </row>
    <row r="12">
      <c r="A12" s="4" t="inlineStr"/>
      <c r="B12" s="4" t="inlineStr">
        <is>
          <t>AddSub</t>
        </is>
      </c>
      <c r="C12" s="4" t="n">
        <v>80.8</v>
      </c>
      <c r="D12" s="4" t="n">
        <v>9.9</v>
      </c>
      <c r="E12" s="4" t="n">
        <v>2.8</v>
      </c>
      <c r="F12" s="4" t="n">
        <v>2.3</v>
      </c>
      <c r="G12" s="4" t="n">
        <v>4.3</v>
      </c>
    </row>
    <row r="13">
      <c r="A13" s="4" t="inlineStr"/>
      <c r="B13" s="4" t="inlineStr">
        <is>
          <t>MATH500</t>
        </is>
      </c>
      <c r="C13" s="4" t="n">
        <v>52.8</v>
      </c>
      <c r="D13" s="4" t="n">
        <v>0</v>
      </c>
      <c r="E13" s="4" t="n">
        <v>8</v>
      </c>
      <c r="F13" s="4" t="n">
        <v>2.8</v>
      </c>
      <c r="G13" s="4" t="n">
        <v>36.4</v>
      </c>
    </row>
    <row r="14">
      <c r="A14" s="4" t="inlineStr"/>
      <c r="B14" s="4" t="inlineStr">
        <is>
          <t>GSM8K</t>
        </is>
      </c>
      <c r="C14" s="4" t="n">
        <v>81</v>
      </c>
      <c r="D14" s="4" t="n">
        <v>0</v>
      </c>
      <c r="E14" s="4" t="n">
        <v>3.1</v>
      </c>
      <c r="F14" s="4" t="n">
        <v>1.5</v>
      </c>
      <c r="G14" s="4" t="n">
        <v>14.4</v>
      </c>
    </row>
    <row r="15">
      <c r="A15" s="16" t="inlineStr">
        <is>
          <t>GRPO-v1</t>
        </is>
      </c>
      <c r="B15" s="4" t="inlineStr">
        <is>
          <t>SVAMP</t>
        </is>
      </c>
      <c r="C15" s="4" t="n">
        <v>78.5</v>
      </c>
      <c r="D15" s="4" t="n">
        <v>0</v>
      </c>
      <c r="E15" s="4" t="n">
        <v>2.7</v>
      </c>
      <c r="F15" s="4" t="n">
        <v>1.4</v>
      </c>
      <c r="G15" s="4" t="n">
        <v>17.4</v>
      </c>
    </row>
    <row r="16">
      <c r="A16" s="4" t="inlineStr"/>
      <c r="B16" s="4" t="inlineStr">
        <is>
          <t>ASDiv</t>
        </is>
      </c>
      <c r="C16" s="4" t="n">
        <v>85.7</v>
      </c>
      <c r="D16" s="4" t="n">
        <v>4</v>
      </c>
      <c r="E16" s="4" t="n">
        <v>0.3</v>
      </c>
      <c r="F16" s="4" t="n">
        <v>0.9</v>
      </c>
      <c r="G16" s="4" t="n">
        <v>9.1</v>
      </c>
    </row>
    <row r="17">
      <c r="A17" s="4" t="inlineStr"/>
      <c r="B17" s="4" t="inlineStr">
        <is>
          <t>AddSub</t>
        </is>
      </c>
      <c r="C17" s="4" t="n">
        <v>80.5</v>
      </c>
      <c r="D17" s="4" t="n">
        <v>9.6</v>
      </c>
      <c r="E17" s="4" t="n">
        <v>3</v>
      </c>
      <c r="F17" s="4" t="n">
        <v>1.8</v>
      </c>
      <c r="G17" s="4" t="n">
        <v>5.1</v>
      </c>
    </row>
    <row r="18">
      <c r="A18" s="4" t="inlineStr"/>
      <c r="B18" s="4" t="inlineStr">
        <is>
          <t>MATH500</t>
        </is>
      </c>
      <c r="C18" s="4" t="n">
        <v>52.6</v>
      </c>
      <c r="D18" s="4" t="n">
        <v>0</v>
      </c>
      <c r="E18" s="4" t="n">
        <v>8.800000000000001</v>
      </c>
      <c r="F18" s="4" t="n">
        <v>2.4</v>
      </c>
      <c r="G18" s="4" t="n">
        <v>36.2</v>
      </c>
    </row>
    <row r="19">
      <c r="A19" s="4" t="inlineStr"/>
      <c r="B19" s="4" t="inlineStr">
        <is>
          <t>GSM8K</t>
        </is>
      </c>
      <c r="C19" s="4" t="n">
        <v>80.3</v>
      </c>
      <c r="D19" s="4" t="n">
        <v>0</v>
      </c>
      <c r="E19" s="4" t="n">
        <v>3</v>
      </c>
      <c r="F19" s="4" t="n">
        <v>1.5</v>
      </c>
      <c r="G19" s="4" t="n">
        <v>15.2</v>
      </c>
    </row>
    <row r="21">
      <c r="A21" s="15" t="inlineStr">
        <is>
          <t>关键对比 (注意 ASDiv/AddSub 的 extraction_failure):</t>
        </is>
      </c>
    </row>
    <row r="22" ht="22" customHeight="1">
      <c r="A22" s="9" t="inlineStr">
        <is>
          <t>• ASDiv extraction_failure: Sanity 6.4% → V2 5.7% → GRPO 4.0% — GRPO 持续改善提取稳定性</t>
        </is>
      </c>
      <c r="B22" s="10" t="n"/>
      <c r="C22" s="10" t="n"/>
      <c r="D22" s="10" t="n"/>
      <c r="E22" s="10" t="n"/>
      <c r="F22" s="10" t="n"/>
      <c r="G22" s="8" t="n"/>
    </row>
    <row r="23" ht="22" customHeight="1">
      <c r="A23" s="9" t="inlineStr">
        <is>
          <t>• AddSub extraction_failure: Sanity 10.6% → V2 9.9% → GRPO 9.6% — 同向改善</t>
        </is>
      </c>
      <c r="B23" s="10" t="n"/>
      <c r="C23" s="10" t="n"/>
      <c r="D23" s="10" t="n"/>
      <c r="E23" s="10" t="n"/>
      <c r="F23" s="10" t="n"/>
      <c r="G23" s="8" t="n"/>
    </row>
    <row r="24" ht="22" customHeight="1">
      <c r="A24" s="9" t="inlineStr">
        <is>
          <t>• SVAMP/MATH500/GSM8K 几乎没有 extraction_failure（题目格式规整）</t>
        </is>
      </c>
      <c r="B24" s="10" t="n"/>
      <c r="C24" s="10" t="n"/>
      <c r="D24" s="10" t="n"/>
      <c r="E24" s="10" t="n"/>
      <c r="F24" s="10" t="n"/>
      <c r="G24" s="8" t="n"/>
    </row>
    <row r="25" ht="22" customHeight="1">
      <c r="A25" s="9" t="inlineStr">
        <is>
          <t>• comp_far（推理错）数字三组基本不变 → GRPO 的 SymPy reward 修的是格式 / 提取，不是 reasoning</t>
        </is>
      </c>
      <c r="B25" s="10" t="n"/>
      <c r="C25" s="10" t="n"/>
      <c r="D25" s="10" t="n"/>
      <c r="E25" s="10" t="n"/>
      <c r="F25" s="10" t="n"/>
      <c r="G25" s="8" t="n"/>
    </row>
    <row r="28">
      <c r="A28" s="44" t="inlineStr">
        <is>
          <t>📖 配置详解（给第一次看这张表的人）</t>
        </is>
      </c>
    </row>
    <row r="29" ht="30" customHeight="1">
      <c r="A29" s="45" t="inlineStr">
        <is>
          <t>【这个实验在问什么】</t>
        </is>
      </c>
      <c r="C29" s="46" t="inlineStr">
        <is>
          <t>模型答错时，是『不会推理』还是『答案没提取出来』？把错误分类。</t>
        </is>
      </c>
    </row>
    <row r="30" ht="30" customHeight="1">
      <c r="A30" s="45" t="inlineStr">
        <is>
          <t>【固定不变的】</t>
        </is>
      </c>
      <c r="C30" s="46" t="inlineStr">
        <is>
          <t>同样3个模型、同样评测集。</t>
        </is>
      </c>
    </row>
    <row r="31" ht="30" customHeight="1">
      <c r="A31" s="45" t="inlineStr">
        <is>
          <t>【唯一变化的变量】</t>
        </is>
      </c>
      <c r="C31" s="46" t="inlineStr">
        <is>
          <t>每行是【某模型在某评测集】的错误类型占比。</t>
        </is>
      </c>
    </row>
    <row r="33">
      <c r="A33" s="15" t="inlineStr">
        <is>
          <t>本表每个配置是什么意思：</t>
        </is>
      </c>
    </row>
    <row r="34" ht="28" customHeight="1">
      <c r="A34" s="47" t="inlineStr">
        <is>
          <t>extraction_failure</t>
        </is>
      </c>
      <c r="B34" s="48" t="n"/>
      <c r="C34" s="49" t="inlineStr">
        <is>
          <t>模型其实做了但没按格式输出，答案提取失败。</t>
        </is>
      </c>
      <c r="D34" s="50" t="n"/>
      <c r="E34" s="50" t="n"/>
      <c r="F34" s="50" t="n"/>
      <c r="G34" s="50" t="n"/>
      <c r="H34" s="48" t="n"/>
    </row>
    <row r="35" ht="28" customHeight="1">
      <c r="A35" s="47" t="inlineStr">
        <is>
          <t>comp_far / comp_close</t>
        </is>
      </c>
      <c r="B35" s="48" t="n"/>
      <c r="C35" s="49" t="inlineStr">
        <is>
          <t>算错了（差很远 / 差一点），这才是真·推理错误。</t>
        </is>
      </c>
      <c r="D35" s="50" t="n"/>
      <c r="E35" s="50" t="n"/>
      <c r="F35" s="50" t="n"/>
      <c r="G35" s="50" t="n"/>
      <c r="H35" s="48" t="n"/>
    </row>
    <row r="36" ht="28" customHeight="1">
      <c r="A36" s="47" t="inlineStr">
        <is>
          <t>结论</t>
        </is>
      </c>
      <c r="B36" s="48" t="n"/>
      <c r="C36" s="49" t="inlineStr">
        <is>
          <t>V2 vs Sanity 主要差在 extraction，GRPO 修的也是提取稳定性，不是推理。</t>
        </is>
      </c>
      <c r="D36" s="50" t="n"/>
      <c r="E36" s="50" t="n"/>
      <c r="F36" s="50" t="n"/>
      <c r="G36" s="50" t="n"/>
      <c r="H36" s="48" t="n"/>
    </row>
  </sheetData>
  <mergeCells count="21">
    <mergeCell ref="A30:B30"/>
    <mergeCell ref="A22:G22"/>
    <mergeCell ref="C31:H31"/>
    <mergeCell ref="A36:B36"/>
    <mergeCell ref="A2:I2"/>
    <mergeCell ref="C36:H36"/>
    <mergeCell ref="A24:G24"/>
    <mergeCell ref="A33:H33"/>
    <mergeCell ref="A25:G25"/>
    <mergeCell ref="C34:H34"/>
    <mergeCell ref="C30:H30"/>
    <mergeCell ref="A35:B35"/>
    <mergeCell ref="A29:B29"/>
    <mergeCell ref="A21:G21"/>
    <mergeCell ref="A1:I1"/>
    <mergeCell ref="A28:H28"/>
    <mergeCell ref="C35:H35"/>
    <mergeCell ref="A31:B31"/>
    <mergeCell ref="C29:H29"/>
    <mergeCell ref="A34:B34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实验 #6: 数据规模实验 ⭐ (Random subset of misd_sympy_v2_train.json)</t>
        </is>
      </c>
    </row>
    <row r="2">
      <c r="A2" s="2" t="inlineStr">
        <is>
          <t>在 V2 训练集 (4692) 中随机抽不同规模子集，相同训练配置；与 Sanity baseline (~5000) 对比。</t>
        </is>
      </c>
    </row>
    <row r="4">
      <c r="A4" s="3" t="inlineStr">
        <is>
          <t>样本数</t>
        </is>
      </c>
      <c r="B4" s="3" t="inlineStr">
        <is>
          <t>来源</t>
        </is>
      </c>
      <c r="C4" s="3" t="inlineStr">
        <is>
          <t>SVAMP</t>
        </is>
      </c>
      <c r="D4" s="3" t="inlineStr">
        <is>
          <t>ASDiv</t>
        </is>
      </c>
      <c r="E4" s="3" t="inlineStr">
        <is>
          <t>AddSub</t>
        </is>
      </c>
      <c r="F4" s="3" t="inlineStr">
        <is>
          <t>MATH500</t>
        </is>
      </c>
      <c r="G4" s="3" t="inlineStr">
        <is>
          <t>GSM8K</t>
        </is>
      </c>
      <c r="H4" s="3" t="inlineStr">
        <is>
          <t>Avg</t>
        </is>
      </c>
    </row>
    <row r="5">
      <c r="A5" s="16" t="n">
        <v>1000</v>
      </c>
      <c r="B5" s="5" t="inlineStr">
        <is>
          <t>V2 子集</t>
        </is>
      </c>
      <c r="C5" s="4" t="n">
        <v>76.7</v>
      </c>
      <c r="D5" s="4" t="n">
        <v>87.87</v>
      </c>
      <c r="E5" s="4" t="n">
        <v>80.76000000000001</v>
      </c>
      <c r="F5" s="4" t="n">
        <v>63.8</v>
      </c>
      <c r="G5" s="4" t="n">
        <v>87.72</v>
      </c>
      <c r="H5" s="4" t="n">
        <v>79.37</v>
      </c>
    </row>
    <row r="6">
      <c r="A6" s="16" t="n">
        <v>2000</v>
      </c>
      <c r="B6" s="5" t="inlineStr">
        <is>
          <t>V2 子集 ⭐</t>
        </is>
      </c>
      <c r="C6" s="4" t="n">
        <v>79.3</v>
      </c>
      <c r="D6" s="4" t="n">
        <v>92.01000000000001</v>
      </c>
      <c r="E6" s="4" t="n">
        <v>84.05</v>
      </c>
      <c r="F6" s="17" t="n">
        <v>59.6</v>
      </c>
      <c r="G6" s="4" t="n">
        <v>83.55</v>
      </c>
      <c r="H6" s="14" t="n">
        <v>79.7</v>
      </c>
    </row>
    <row r="7">
      <c r="A7" s="16" t="n">
        <v>3000</v>
      </c>
      <c r="B7" s="5" t="inlineStr">
        <is>
          <t>V2 子集</t>
        </is>
      </c>
      <c r="C7" s="4" t="n">
        <v>80</v>
      </c>
      <c r="D7" s="4" t="n">
        <v>88.16</v>
      </c>
      <c r="E7" s="4" t="n">
        <v>83.29000000000001</v>
      </c>
      <c r="F7" s="17" t="n">
        <v>57.2</v>
      </c>
      <c r="G7" s="4" t="n">
        <v>80.81999999999999</v>
      </c>
      <c r="H7" s="4" t="n">
        <v>77.89</v>
      </c>
    </row>
    <row r="8">
      <c r="A8" s="16" t="n">
        <v>4000</v>
      </c>
      <c r="B8" s="5" t="inlineStr">
        <is>
          <t>V2 子集</t>
        </is>
      </c>
      <c r="C8" s="4" t="n">
        <v>77.2</v>
      </c>
      <c r="D8" s="4" t="n">
        <v>89.44</v>
      </c>
      <c r="E8" s="4" t="n">
        <v>84.05</v>
      </c>
      <c r="F8" s="17" t="n">
        <v>55.8</v>
      </c>
      <c r="G8" s="4" t="n">
        <v>85.67</v>
      </c>
      <c r="H8" s="4" t="n">
        <v>78.43000000000001</v>
      </c>
    </row>
    <row r="9">
      <c r="A9" s="16" t="n">
        <v>4692</v>
      </c>
      <c r="B9" s="5" t="inlineStr">
        <is>
          <t>V2 全量</t>
        </is>
      </c>
      <c r="C9" s="4" t="n">
        <v>76.8</v>
      </c>
      <c r="D9" s="4" t="n">
        <v>85.31</v>
      </c>
      <c r="E9" s="4" t="n">
        <v>80.76000000000001</v>
      </c>
      <c r="F9" s="17" t="n">
        <v>52.8</v>
      </c>
      <c r="G9" s="4" t="n">
        <v>80.97</v>
      </c>
      <c r="H9" s="4" t="n">
        <v>75.33</v>
      </c>
    </row>
    <row r="10">
      <c r="A10" s="16" t="n">
        <v>4998</v>
      </c>
      <c r="B10" s="5" t="inlineStr">
        <is>
          <t>Sanity (Claude)</t>
        </is>
      </c>
      <c r="C10" s="4" t="n">
        <v>75.8</v>
      </c>
      <c r="D10" s="4" t="n">
        <v>84.02</v>
      </c>
      <c r="E10" s="4" t="n">
        <v>80</v>
      </c>
      <c r="F10" s="17" t="n">
        <v>52.8</v>
      </c>
      <c r="G10" s="4" t="n">
        <v>76.34999999999999</v>
      </c>
      <c r="H10" s="4" t="n">
        <v>73.79000000000001</v>
      </c>
    </row>
    <row r="12">
      <c r="A12" s="15" t="inlineStr">
        <is>
          <t>MATH500 随数据量单调下降:</t>
        </is>
      </c>
    </row>
    <row r="13" ht="22" customHeight="1">
      <c r="A13" s="9" t="inlineStr">
        <is>
          <t xml:space="preserve">    1000 → 63.80    2000 → 59.60    3000 → 57.20    4000 → 55.80    4692 → 52.80</t>
        </is>
      </c>
      <c r="B13" s="10" t="n"/>
      <c r="C13" s="10" t="n"/>
      <c r="D13" s="10" t="n"/>
      <c r="E13" s="10" t="n"/>
      <c r="F13" s="10" t="n"/>
      <c r="G13" s="10" t="n"/>
      <c r="H13" s="8" t="n"/>
    </row>
    <row r="14" ht="22" customHeight="1">
      <c r="A14" s="9" t="inlineStr">
        <is>
          <t xml:space="preserve">    每增加 1000 样本 MATH500 掉 1-4 个点；多数据让模型偏简单 WP 风格，牺牲难题能力</t>
        </is>
      </c>
      <c r="B14" s="10" t="n"/>
      <c r="C14" s="10" t="n"/>
      <c r="D14" s="10" t="n"/>
      <c r="E14" s="10" t="n"/>
      <c r="F14" s="10" t="n"/>
      <c r="G14" s="10" t="n"/>
      <c r="H14" s="8" t="n"/>
    </row>
    <row r="16">
      <c r="A16" s="15" t="inlineStr">
        <is>
          <t>关键发现:</t>
        </is>
      </c>
    </row>
    <row r="17" ht="22" customHeight="1">
      <c r="A17" s="9" t="inlineStr">
        <is>
          <t>• 2000 样本甜区: 79.70 avg，比 V2 全量 4692 (75.33) 高 +4.37，比 Sanity (73.79) 高 +5.91</t>
        </is>
      </c>
      <c r="B17" s="10" t="n"/>
      <c r="C17" s="10" t="n"/>
      <c r="D17" s="10" t="n"/>
      <c r="E17" s="10" t="n"/>
      <c r="F17" s="10" t="n"/>
      <c r="G17" s="10" t="n"/>
      <c r="H17" s="8" t="n"/>
    </row>
    <row r="18" ht="22" customHeight="1">
      <c r="A18" s="9" t="inlineStr">
        <is>
          <t>• 1000/2000/3000/4000 全部胜过 V2 全量 — 推翻 "更多 sympy-filtered = 更好"</t>
        </is>
      </c>
      <c r="B18" s="10" t="n"/>
      <c r="C18" s="10" t="n"/>
      <c r="D18" s="10" t="n"/>
      <c r="E18" s="10" t="n"/>
      <c r="F18" s="10" t="n"/>
      <c r="G18" s="10" t="n"/>
      <c r="H18" s="8" t="n"/>
    </row>
    <row r="19" ht="22" customHeight="1">
      <c r="A19" s="9" t="inlineStr">
        <is>
          <t>• 论文重新定位：MISD 的核心价值是 "小而精"，不是 "大而全 sympy-filtered"</t>
        </is>
      </c>
      <c r="B19" s="10" t="n"/>
      <c r="C19" s="10" t="n"/>
      <c r="D19" s="10" t="n"/>
      <c r="E19" s="10" t="n"/>
      <c r="F19" s="10" t="n"/>
      <c r="G19" s="10" t="n"/>
      <c r="H19" s="8" t="n"/>
    </row>
    <row r="22">
      <c r="A22" s="44" t="inlineStr">
        <is>
          <t>📖 配置详解（给第一次看这张表的人）</t>
        </is>
      </c>
    </row>
    <row r="23" ht="30" customHeight="1">
      <c r="A23" s="45" t="inlineStr">
        <is>
          <t>【这个实验在问什么】</t>
        </is>
      </c>
      <c r="C23" s="46" t="inlineStr">
        <is>
          <t>训练数据越多越好吗？从 V2 的 4692 条里随机抽不同数量来训练。</t>
        </is>
      </c>
    </row>
    <row r="24" ht="30" customHeight="1">
      <c r="A24" s="45" t="inlineStr">
        <is>
          <t>【固定不变的】</t>
        </is>
      </c>
      <c r="C24" s="46" t="inlineStr">
        <is>
          <t>基模、训练配置、评测集一样；数据都是 V2 数据的随机子集。</t>
        </is>
      </c>
    </row>
    <row r="25" ht="30" customHeight="1">
      <c r="A25" s="45" t="inlineStr">
        <is>
          <t>【唯一变化的变量】</t>
        </is>
      </c>
      <c r="C25" s="46" t="inlineStr">
        <is>
          <t>唯一变化【训练样本数量】1000/2000/3000/4000/4692。</t>
        </is>
      </c>
    </row>
    <row r="27">
      <c r="A27" s="15" t="inlineStr">
        <is>
          <t>本表每个配置是什么意思：</t>
        </is>
      </c>
    </row>
    <row r="28" ht="28" customHeight="1">
      <c r="A28" s="47" t="inlineStr">
        <is>
          <t>scale_1000~4000</t>
        </is>
      </c>
      <c r="B28" s="48" t="n"/>
      <c r="C28" s="49" t="inlineStr">
        <is>
          <t>V2 数据的随机子集，只是数量不同。</t>
        </is>
      </c>
      <c r="D28" s="50" t="n"/>
      <c r="E28" s="50" t="n"/>
      <c r="F28" s="50" t="n"/>
      <c r="G28" s="50" t="n"/>
      <c r="H28" s="48" t="n"/>
    </row>
    <row r="29" ht="28" customHeight="1">
      <c r="A29" s="47" t="inlineStr">
        <is>
          <t>关键现象</t>
        </is>
      </c>
      <c r="B29" s="48" t="n"/>
      <c r="C29" s="49" t="inlineStr">
        <is>
          <t>MATH500 随数据量【单调下降】(63.8→52.8)；2000 附近 in-domain 反而最高。</t>
        </is>
      </c>
      <c r="D29" s="50" t="n"/>
      <c r="E29" s="50" t="n"/>
      <c r="F29" s="50" t="n"/>
      <c r="G29" s="50" t="n"/>
      <c r="H29" s="48" t="n"/>
    </row>
    <row r="30" ht="28" customHeight="1">
      <c r="A30" s="47" t="inlineStr">
        <is>
          <t>⚠️ 重要更正</t>
        </is>
      </c>
      <c r="B30" s="48" t="n"/>
      <c r="C30" s="49" t="inlineStr">
        <is>
          <t>后续 OOD 测试发现 scale 子集在分布外(中文等)崩得更厉害，『少即是多』结论只在 in-domain 成立，勿过度解读。</t>
        </is>
      </c>
      <c r="D30" s="50" t="n"/>
      <c r="E30" s="50" t="n"/>
      <c r="F30" s="50" t="n"/>
      <c r="G30" s="50" t="n"/>
      <c r="H30" s="48" t="n"/>
    </row>
  </sheetData>
  <mergeCells count="23">
    <mergeCell ref="C25:H25"/>
    <mergeCell ref="A24:B24"/>
    <mergeCell ref="A30:B30"/>
    <mergeCell ref="A2:I2"/>
    <mergeCell ref="A25:B25"/>
    <mergeCell ref="A16:H16"/>
    <mergeCell ref="C23:H23"/>
    <mergeCell ref="A27:H27"/>
    <mergeCell ref="A12:H12"/>
    <mergeCell ref="A18:H18"/>
    <mergeCell ref="C28:H28"/>
    <mergeCell ref="A14:H14"/>
    <mergeCell ref="A23:B23"/>
    <mergeCell ref="C30:H30"/>
    <mergeCell ref="A22:H22"/>
    <mergeCell ref="A17:H17"/>
    <mergeCell ref="C24:H24"/>
    <mergeCell ref="A29:B29"/>
    <mergeCell ref="A28:B28"/>
    <mergeCell ref="A1:I1"/>
    <mergeCell ref="A13:H13"/>
    <mergeCell ref="A19:H19"/>
    <mergeCell ref="C29:H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实验 #7: GRPO 强化学习（建议放论文附录）</t>
        </is>
      </c>
    </row>
    <row r="2">
      <c r="A2" s="2" t="inlineStr">
        <is>
          <t>热启动自 MISD-Sympy-V2，SymPy answer-equivalence 作 reward (+1 / 0)。</t>
        </is>
      </c>
    </row>
    <row r="4">
      <c r="A4" s="3" t="inlineStr">
        <is>
          <t>模型</t>
        </is>
      </c>
      <c r="B4" s="3" t="inlineStr">
        <is>
          <t>步数</t>
        </is>
      </c>
      <c r="C4" s="3" t="inlineStr">
        <is>
          <t>SVAMP</t>
        </is>
      </c>
      <c r="D4" s="3" t="inlineStr">
        <is>
          <t>ASDiv</t>
        </is>
      </c>
      <c r="E4" s="3" t="inlineStr">
        <is>
          <t>AddSub</t>
        </is>
      </c>
      <c r="F4" s="3" t="inlineStr">
        <is>
          <t>MATH500</t>
        </is>
      </c>
      <c r="G4" s="3" t="inlineStr">
        <is>
          <t>GSM8K</t>
        </is>
      </c>
      <c r="H4" s="3" t="inlineStr">
        <is>
          <t>Avg</t>
        </is>
      </c>
      <c r="I4" s="3" t="inlineStr">
        <is>
          <t>vs Sanity GSM8K</t>
        </is>
      </c>
    </row>
    <row r="5">
      <c r="A5" s="12" t="inlineStr">
        <is>
          <t>Sanity baseline</t>
        </is>
      </c>
      <c r="B5" s="4" t="inlineStr">
        <is>
          <t>—</t>
        </is>
      </c>
      <c r="C5" s="4" t="n">
        <v>75.8</v>
      </c>
      <c r="D5" s="4" t="n">
        <v>84.02</v>
      </c>
      <c r="E5" s="4" t="n">
        <v>80</v>
      </c>
      <c r="F5" s="4" t="n">
        <v>52.8</v>
      </c>
      <c r="G5" s="4" t="n">
        <v>76.34999999999999</v>
      </c>
      <c r="H5" s="4" t="n">
        <v>73.79000000000001</v>
      </c>
      <c r="I5" s="4" t="inlineStr">
        <is>
          <t>(基准)</t>
        </is>
      </c>
    </row>
    <row r="6">
      <c r="A6" s="12" t="inlineStr">
        <is>
          <t>V2 (SFT 起点)</t>
        </is>
      </c>
      <c r="B6" s="4" t="inlineStr">
        <is>
          <t>—</t>
        </is>
      </c>
      <c r="C6" s="4" t="n">
        <v>76.8</v>
      </c>
      <c r="D6" s="4" t="n">
        <v>85.31</v>
      </c>
      <c r="E6" s="4" t="n">
        <v>80.76000000000001</v>
      </c>
      <c r="F6" s="4" t="n">
        <v>52.8</v>
      </c>
      <c r="G6" s="4" t="n">
        <v>80.97</v>
      </c>
      <c r="H6" s="4" t="n">
        <v>75.33</v>
      </c>
      <c r="I6" s="4" t="inlineStr">
        <is>
          <t>+4.62</t>
        </is>
      </c>
    </row>
    <row r="7">
      <c r="A7" s="12" t="inlineStr">
        <is>
          <t>GRPO v1</t>
        </is>
      </c>
      <c r="B7" s="4" t="inlineStr">
        <is>
          <t>200</t>
        </is>
      </c>
      <c r="C7" s="4" t="n">
        <v>78.5</v>
      </c>
      <c r="D7" s="4" t="n">
        <v>85.73</v>
      </c>
      <c r="E7" s="4" t="n">
        <v>80.51000000000001</v>
      </c>
      <c r="F7" s="4" t="n">
        <v>52.6</v>
      </c>
      <c r="G7" s="4" t="n">
        <v>80.29000000000001</v>
      </c>
      <c r="H7" s="14" t="n">
        <v>75.53</v>
      </c>
      <c r="I7" s="4" t="inlineStr">
        <is>
          <t>+3.94</t>
        </is>
      </c>
    </row>
    <row r="8">
      <c r="A8" s="12" t="inlineStr">
        <is>
          <t>GRPO v2</t>
        </is>
      </c>
      <c r="B8" s="4" t="inlineStr">
        <is>
          <t>800</t>
        </is>
      </c>
      <c r="C8" s="4" t="n">
        <v>78.2</v>
      </c>
      <c r="D8" s="4" t="n">
        <v>86.59</v>
      </c>
      <c r="E8" s="4" t="n">
        <v>80.25</v>
      </c>
      <c r="F8" s="4" t="n">
        <v>51.4</v>
      </c>
      <c r="G8" s="4" t="n">
        <v>79.53</v>
      </c>
      <c r="H8" s="4" t="n">
        <v>75.19</v>
      </c>
      <c r="I8" s="4" t="inlineStr">
        <is>
          <t>+3.18</t>
        </is>
      </c>
    </row>
    <row r="11">
      <c r="A11" s="15" t="inlineStr">
        <is>
          <t>解读：</t>
        </is>
      </c>
    </row>
    <row r="12" ht="22" customHeight="1">
      <c r="A12" s="9" t="inlineStr">
        <is>
          <t>• GRPO v1 (200 步) 比 SFT V2 涨 +0.20 — 收益主要在 SVAMP/ASDiv 的 extraction 修复</t>
        </is>
      </c>
      <c r="B12" s="10" t="n"/>
      <c r="C12" s="10" t="n"/>
      <c r="D12" s="10" t="n"/>
      <c r="E12" s="10" t="n"/>
      <c r="F12" s="10" t="n"/>
      <c r="G12" s="10" t="n"/>
      <c r="H12" s="10" t="n"/>
      <c r="I12" s="8" t="n"/>
    </row>
    <row r="13" ht="22" customHeight="1">
      <c r="A13" s="9" t="inlineStr">
        <is>
          <t>• GRPO v2 (800 步) 没继续提升；长 RL 在 GSM8K/MATH500 回退</t>
        </is>
      </c>
      <c r="B13" s="10" t="n"/>
      <c r="C13" s="10" t="n"/>
      <c r="D13" s="10" t="n"/>
      <c r="E13" s="10" t="n"/>
      <c r="F13" s="10" t="n"/>
      <c r="G13" s="10" t="n"/>
      <c r="H13" s="10" t="n"/>
      <c r="I13" s="8" t="n"/>
    </row>
    <row r="14" ht="22" customHeight="1">
      <c r="A14" s="9" t="inlineStr">
        <is>
          <t>• "GSM8K +4 个点" 是相对 Sanity baseline；相对 V2 自己 GSM8K 反而 -0.68（注意叙事用语）</t>
        </is>
      </c>
      <c r="B14" s="10" t="n"/>
      <c r="C14" s="10" t="n"/>
      <c r="D14" s="10" t="n"/>
      <c r="E14" s="10" t="n"/>
      <c r="F14" s="10" t="n"/>
      <c r="G14" s="10" t="n"/>
      <c r="H14" s="10" t="n"/>
      <c r="I14" s="8" t="n"/>
    </row>
    <row r="15" ht="22" customHeight="1">
      <c r="A15" s="9" t="inlineStr">
        <is>
          <t>• 配合 #5 错误分析：GRPO 改 extraction 不改 reasoning — 适合做附录辅助实验</t>
        </is>
      </c>
      <c r="B15" s="10" t="n"/>
      <c r="C15" s="10" t="n"/>
      <c r="D15" s="10" t="n"/>
      <c r="E15" s="10" t="n"/>
      <c r="F15" s="10" t="n"/>
      <c r="G15" s="10" t="n"/>
      <c r="H15" s="10" t="n"/>
      <c r="I15" s="8" t="n"/>
    </row>
    <row r="16" ht="22" customHeight="1">
      <c r="A16" s="9" t="inlineStr">
        <is>
          <t>• 老师建议放附录 ✓</t>
        </is>
      </c>
      <c r="B16" s="10" t="n"/>
      <c r="C16" s="10" t="n"/>
      <c r="D16" s="10" t="n"/>
      <c r="E16" s="10" t="n"/>
      <c r="F16" s="10" t="n"/>
      <c r="G16" s="10" t="n"/>
      <c r="H16" s="10" t="n"/>
      <c r="I16" s="8" t="n"/>
    </row>
    <row r="19">
      <c r="A19" s="44" t="inlineStr">
        <is>
          <t>📖 配置详解（给第一次看这张表的人）</t>
        </is>
      </c>
    </row>
    <row r="20" ht="30" customHeight="1">
      <c r="A20" s="45" t="inlineStr">
        <is>
          <t>【这个实验在问什么】</t>
        </is>
      </c>
      <c r="C20" s="46" t="inlineStr">
        <is>
          <t>在 V2 的 SFT 模型上再做强化学习(GRPO)有没有用？(老师建议放附录)</t>
        </is>
      </c>
    </row>
    <row r="21" ht="30" customHeight="1">
      <c r="A21" s="45" t="inlineStr">
        <is>
          <t>【固定不变的】</t>
        </is>
      </c>
      <c r="C21" s="46" t="inlineStr">
        <is>
          <t>基模、评测集一样；都从 V2 出发。</t>
        </is>
      </c>
    </row>
    <row r="22" ht="30" customHeight="1">
      <c r="A22" s="45" t="inlineStr">
        <is>
          <t>【唯一变化的变量】</t>
        </is>
      </c>
      <c r="C22" s="46" t="inlineStr">
        <is>
          <t>变化【是否做RL、做多少步】。</t>
        </is>
      </c>
    </row>
    <row r="24">
      <c r="A24" s="15" t="inlineStr">
        <is>
          <t>本表每个配置是什么意思：</t>
        </is>
      </c>
    </row>
    <row r="25" ht="28" customHeight="1">
      <c r="A25" s="47" t="inlineStr">
        <is>
          <t>Sanity / V2</t>
        </is>
      </c>
      <c r="B25" s="48" t="n"/>
      <c r="C25" s="49" t="inlineStr">
        <is>
          <t>两个 SFT 参照线。</t>
        </is>
      </c>
      <c r="D25" s="50" t="n"/>
      <c r="E25" s="50" t="n"/>
      <c r="F25" s="50" t="n"/>
      <c r="G25" s="50" t="n"/>
      <c r="H25" s="48" t="n"/>
    </row>
    <row r="26" ht="28" customHeight="1">
      <c r="A26" s="47" t="inlineStr">
        <is>
          <t>GRPO v1 (200步)</t>
        </is>
      </c>
      <c r="B26" s="48" t="n"/>
      <c r="C26" s="49" t="inlineStr">
        <is>
          <t>比 V2 略升，75.53；GSM8K 相对 Sanity +3.94。</t>
        </is>
      </c>
      <c r="D26" s="50" t="n"/>
      <c r="E26" s="50" t="n"/>
      <c r="F26" s="50" t="n"/>
      <c r="G26" s="50" t="n"/>
      <c r="H26" s="48" t="n"/>
    </row>
    <row r="27" ht="28" customHeight="1">
      <c r="A27" s="47" t="inlineStr">
        <is>
          <t>GRPO v2 (800步)</t>
        </is>
      </c>
      <c r="B27" s="48" t="n"/>
      <c r="C27" s="49" t="inlineStr">
        <is>
          <t>步数加多没继续涨，说明收益有限。</t>
        </is>
      </c>
      <c r="D27" s="50" t="n"/>
      <c r="E27" s="50" t="n"/>
      <c r="F27" s="50" t="n"/>
      <c r="G27" s="50" t="n"/>
      <c r="H27" s="48" t="n"/>
    </row>
  </sheetData>
  <mergeCells count="22">
    <mergeCell ref="C25:H25"/>
    <mergeCell ref="C22:H22"/>
    <mergeCell ref="A24:H24"/>
    <mergeCell ref="A12:I12"/>
    <mergeCell ref="C21:H21"/>
    <mergeCell ref="A2:I2"/>
    <mergeCell ref="A25:B25"/>
    <mergeCell ref="C27:H27"/>
    <mergeCell ref="A14:I14"/>
    <mergeCell ref="A27:B27"/>
    <mergeCell ref="A26:B26"/>
    <mergeCell ref="A21:B21"/>
    <mergeCell ref="A13:I13"/>
    <mergeCell ref="A22:B22"/>
    <mergeCell ref="A15:I15"/>
    <mergeCell ref="A20:B20"/>
    <mergeCell ref="A11:I11"/>
    <mergeCell ref="A1:I1"/>
    <mergeCell ref="A19:H19"/>
    <mergeCell ref="C26:H26"/>
    <mergeCell ref="A16:I16"/>
    <mergeCell ref="C20:H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>
      <c r="A1" s="1" t="inlineStr">
        <is>
          <t>实验 #8: SymPy 过滤 vs R1-R5 改写 的独立贡献</t>
        </is>
      </c>
    </row>
    <row r="2">
      <c r="A2" s="2" t="inlineStr">
        <is>
          <t>在 Sanity (Claude 重写) 之上，分别只加 SymPy 过滤 / 只加 R1-R5 改写 / 同时加，剥离两个 component 的独立贡献。</t>
        </is>
      </c>
    </row>
    <row r="3">
      <c r="A3" s="2" t="inlineStr">
        <is>
          <t>训练配置完全一致：Qwen2.5-3B + LoRA r=16 α=32，lr=1e-4，3 epochs。仅训练数据不同。</t>
        </is>
      </c>
    </row>
    <row r="5">
      <c r="A5" s="31" t="inlineStr">
        <is>
          <t>3 维对照（同源 Sanity，过滤/改写开关）</t>
        </is>
      </c>
      <c r="B5" s="10" t="n"/>
      <c r="C5" s="10" t="n"/>
      <c r="D5" s="10" t="n"/>
      <c r="E5" s="10" t="n"/>
      <c r="F5" s="10" t="n"/>
      <c r="G5" s="10" t="n"/>
      <c r="H5" s="8" t="n"/>
    </row>
    <row r="6" ht="22" customHeight="1">
      <c r="A6" s="24" t="inlineStr">
        <is>
          <t>配置</t>
        </is>
      </c>
      <c r="B6" s="24" t="inlineStr">
        <is>
          <t>样本数</t>
        </is>
      </c>
      <c r="C6" s="24" t="inlineStr">
        <is>
          <t>SVAMP</t>
        </is>
      </c>
      <c r="D6" s="24" t="inlineStr">
        <is>
          <t>ASDiv</t>
        </is>
      </c>
      <c r="E6" s="24" t="inlineStr">
        <is>
          <t>AddSub</t>
        </is>
      </c>
      <c r="F6" s="24" t="inlineStr">
        <is>
          <t>MATH500</t>
        </is>
      </c>
      <c r="G6" s="24" t="inlineStr">
        <is>
          <t>GSM8K</t>
        </is>
      </c>
      <c r="H6" s="24" t="inlineStr">
        <is>
          <t>Avg</t>
        </is>
      </c>
    </row>
    <row r="7">
      <c r="A7" s="12" t="inlineStr">
        <is>
          <t>Sanity (无过滤、无 R1-R5)</t>
        </is>
      </c>
      <c r="B7" s="27" t="n">
        <v>4998</v>
      </c>
      <c r="C7" s="27" t="n">
        <v>75.8</v>
      </c>
      <c r="D7" s="27" t="n">
        <v>84.02</v>
      </c>
      <c r="E7" s="27" t="n">
        <v>80</v>
      </c>
      <c r="F7" s="27" t="n">
        <v>52.8</v>
      </c>
      <c r="G7" s="27" t="n">
        <v>76.34999999999999</v>
      </c>
      <c r="H7" s="27" t="n">
        <v>73.79000000000001</v>
      </c>
    </row>
    <row r="8">
      <c r="A8" s="20" t="inlineStr">
        <is>
          <t>Sanity + SymPy 过滤 (无 R1-R5) ⭐ 新跑</t>
        </is>
      </c>
      <c r="B8" s="32" t="n">
        <v>4692</v>
      </c>
      <c r="C8" s="32" t="n">
        <v>81.2</v>
      </c>
      <c r="D8" s="32" t="n">
        <v>90.01000000000001</v>
      </c>
      <c r="E8" s="32" t="n">
        <v>88.86</v>
      </c>
      <c r="F8" s="32" t="n">
        <v>43.6</v>
      </c>
      <c r="G8" s="32" t="n">
        <v>70.2</v>
      </c>
      <c r="H8" s="32" t="n">
        <v>74.77</v>
      </c>
    </row>
    <row r="9">
      <c r="A9" s="12" t="inlineStr">
        <is>
          <t>MISD V2 (Sanity + R1-R5 + SymPy 过滤)</t>
        </is>
      </c>
      <c r="B9" s="27" t="n">
        <v>4692</v>
      </c>
      <c r="C9" s="27" t="n">
        <v>76.8</v>
      </c>
      <c r="D9" s="27" t="n">
        <v>85.31</v>
      </c>
      <c r="E9" s="27" t="n">
        <v>80.76000000000001</v>
      </c>
      <c r="F9" s="27" t="n">
        <v>52.8</v>
      </c>
      <c r="G9" s="27" t="n">
        <v>80.97</v>
      </c>
      <c r="H9" s="33" t="n">
        <v>75.33</v>
      </c>
    </row>
    <row r="11">
      <c r="A11" s="31" t="inlineStr">
        <is>
          <t>逐 benchmark Δ：SymPy 过滤独立贡献 vs R1-R5 独立贡献（方向相反！）</t>
        </is>
      </c>
      <c r="B11" s="10" t="n"/>
      <c r="C11" s="10" t="n"/>
      <c r="D11" s="10" t="n"/>
      <c r="E11" s="10" t="n"/>
      <c r="F11" s="10" t="n"/>
      <c r="G11" s="10" t="n"/>
      <c r="H11" s="8" t="n"/>
    </row>
    <row r="12" ht="22" customHeight="1">
      <c r="A12" s="24" t="inlineStr">
        <is>
          <t>Benchmark</t>
        </is>
      </c>
      <c r="B12" s="24" t="inlineStr">
        <is>
          <t>Sanity</t>
        </is>
      </c>
      <c r="C12" s="24" t="inlineStr">
        <is>
          <t>Sanity+SymPy</t>
        </is>
      </c>
      <c r="D12" s="24" t="inlineStr">
        <is>
          <t>MISD V2</t>
        </is>
      </c>
      <c r="E12" s="24" t="inlineStr">
        <is>
          <t>Δ SymPy 过滤</t>
        </is>
      </c>
      <c r="F12" s="24" t="inlineStr">
        <is>
          <t>Δ R1-R5 改写</t>
        </is>
      </c>
      <c r="G12" s="24" t="inlineStr">
        <is>
          <t>总 Δ vs Sanity</t>
        </is>
      </c>
      <c r="H12" s="24" t="inlineStr">
        <is>
          <t>解读</t>
        </is>
      </c>
    </row>
    <row r="13">
      <c r="A13" s="34" t="inlineStr">
        <is>
          <t>SVAMP</t>
        </is>
      </c>
      <c r="B13" s="27" t="n">
        <v>75.8</v>
      </c>
      <c r="C13" s="27" t="n">
        <v>81.2</v>
      </c>
      <c r="D13" s="27" t="n">
        <v>76.8</v>
      </c>
      <c r="E13" s="35" t="inlineStr">
        <is>
          <t>+5.40</t>
        </is>
      </c>
      <c r="F13" s="36" t="inlineStr">
        <is>
          <t>-4.40</t>
        </is>
      </c>
      <c r="G13" s="27" t="inlineStr">
        <is>
          <t>+1.00</t>
        </is>
      </c>
      <c r="H13" s="5" t="inlineStr">
        <is>
          <t>过滤拉简单题，改写回拉一些</t>
        </is>
      </c>
    </row>
    <row r="14">
      <c r="A14" s="34" t="inlineStr">
        <is>
          <t>ASDiv</t>
        </is>
      </c>
      <c r="B14" s="27" t="n">
        <v>84.02</v>
      </c>
      <c r="C14" s="27" t="n">
        <v>90.01000000000001</v>
      </c>
      <c r="D14" s="27" t="n">
        <v>85.31</v>
      </c>
      <c r="E14" s="35" t="inlineStr">
        <is>
          <t>+5.99</t>
        </is>
      </c>
      <c r="F14" s="36" t="inlineStr">
        <is>
          <t>-4.70</t>
        </is>
      </c>
      <c r="G14" s="27" t="inlineStr">
        <is>
          <t>+1.29</t>
        </is>
      </c>
      <c r="H14" s="5" t="inlineStr">
        <is>
          <t>过滤拉简单题，改写回拉一些</t>
        </is>
      </c>
    </row>
    <row r="15">
      <c r="A15" s="34" t="inlineStr">
        <is>
          <t>AddSub</t>
        </is>
      </c>
      <c r="B15" s="27" t="n">
        <v>80</v>
      </c>
      <c r="C15" s="27" t="n">
        <v>88.86</v>
      </c>
      <c r="D15" s="27" t="n">
        <v>80.76000000000001</v>
      </c>
      <c r="E15" s="35" t="inlineStr">
        <is>
          <t>+8.86</t>
        </is>
      </c>
      <c r="F15" s="36" t="inlineStr">
        <is>
          <t>-8.10</t>
        </is>
      </c>
      <c r="G15" s="27" t="inlineStr">
        <is>
          <t>+0.76</t>
        </is>
      </c>
      <c r="H15" s="5" t="inlineStr">
        <is>
          <t>过滤拉简单题，改写回拉到原位</t>
        </is>
      </c>
    </row>
    <row r="16">
      <c r="A16" s="34" t="inlineStr">
        <is>
          <t>MATH500</t>
        </is>
      </c>
      <c r="B16" s="27" t="n">
        <v>52.8</v>
      </c>
      <c r="C16" s="27" t="n">
        <v>43.6</v>
      </c>
      <c r="D16" s="27" t="n">
        <v>52.8</v>
      </c>
      <c r="E16" s="36" t="inlineStr">
        <is>
          <t>-9.20</t>
        </is>
      </c>
      <c r="F16" s="35" t="inlineStr">
        <is>
          <t>+9.20</t>
        </is>
      </c>
      <c r="G16" s="27" t="inlineStr">
        <is>
          <t xml:space="preserve"> 0.00</t>
        </is>
      </c>
      <c r="H16" s="5" t="inlineStr">
        <is>
          <t>过滤伤难题，改写救回</t>
        </is>
      </c>
    </row>
    <row r="17">
      <c r="A17" s="34" t="inlineStr">
        <is>
          <t>GSM8K</t>
        </is>
      </c>
      <c r="B17" s="27" t="n">
        <v>76.34999999999999</v>
      </c>
      <c r="C17" s="27" t="n">
        <v>70.2</v>
      </c>
      <c r="D17" s="27" t="n">
        <v>80.97</v>
      </c>
      <c r="E17" s="36" t="inlineStr">
        <is>
          <t>-6.15</t>
        </is>
      </c>
      <c r="F17" s="35" t="inlineStr">
        <is>
          <t>+10.77</t>
        </is>
      </c>
      <c r="G17" s="27" t="inlineStr">
        <is>
          <t>+4.62</t>
        </is>
      </c>
      <c r="H17" s="5" t="inlineStr">
        <is>
          <t>过滤伤难题，改写救回并超越</t>
        </is>
      </c>
    </row>
    <row r="18">
      <c r="A18" s="34" t="inlineStr">
        <is>
          <t>Avg</t>
        </is>
      </c>
      <c r="B18" s="34" t="n">
        <v>73.79000000000001</v>
      </c>
      <c r="C18" s="34" t="n">
        <v>74.77</v>
      </c>
      <c r="D18" s="34" t="n">
        <v>75.33</v>
      </c>
      <c r="E18" s="33" t="inlineStr">
        <is>
          <t>+0.98</t>
        </is>
      </c>
      <c r="F18" s="33" t="inlineStr">
        <is>
          <t>+0.56</t>
        </is>
      </c>
      <c r="G18" s="34" t="inlineStr">
        <is>
          <t>+1.54</t>
        </is>
      </c>
      <c r="H18" s="12" t="inlineStr">
        <is>
          <t>—</t>
        </is>
      </c>
    </row>
    <row r="20">
      <c r="A20" s="31" t="inlineStr">
        <is>
          <t>关键发现（论文卖点）</t>
        </is>
      </c>
      <c r="B20" s="10" t="n"/>
      <c r="C20" s="10" t="n"/>
      <c r="D20" s="10" t="n"/>
      <c r="E20" s="10" t="n"/>
      <c r="F20" s="10" t="n"/>
      <c r="G20" s="10" t="n"/>
      <c r="H20" s="8" t="n"/>
    </row>
    <row r="21" ht="50" customHeight="1">
      <c r="A21" s="7" t="inlineStr">
        <is>
          <t>发现 1: SymPy 过滤偏好简单题</t>
        </is>
      </c>
      <c r="B21" s="8" t="n"/>
      <c r="C21" s="9" t="inlineStr">
        <is>
          <t>丢掉 306 条 7B 都答错的样本 → 剩下的偏向简单 WP 风格 → SVAMP/ASDiv/AddSub 暴涨 +6~+9，但 MATH500/GSM8K 难题能力被牺牲 -6~-9</t>
        </is>
      </c>
      <c r="D21" s="10" t="n"/>
      <c r="E21" s="10" t="n"/>
      <c r="F21" s="10" t="n"/>
      <c r="G21" s="10" t="n"/>
      <c r="H21" s="8" t="n"/>
    </row>
    <row r="22" ht="50" customHeight="1">
      <c r="A22" s="7" t="inlineStr">
        <is>
          <t>发现 2: R1-R5（主要是 R3 boxed 提示）救回难题</t>
        </is>
      </c>
      <c r="B22" s="8" t="n"/>
      <c r="C22" s="9" t="inlineStr">
        <is>
          <t>MATH500 +9.20、GSM8K +10.77 — 这两个高难度 benchmark 的提升几乎全靠 R1-R5；R3 是关键，与 #3 规则消融一致</t>
        </is>
      </c>
      <c r="D22" s="10" t="n"/>
      <c r="E22" s="10" t="n"/>
      <c r="F22" s="10" t="n"/>
      <c r="G22" s="10" t="n"/>
      <c r="H22" s="8" t="n"/>
    </row>
    <row r="23" ht="50" customHeight="1">
      <c r="A23" s="7" t="inlineStr">
        <is>
          <t>发现 3: MISD V2 不是 "两个独立增益相加"，是 "两个反向力量的平衡"</t>
        </is>
      </c>
      <c r="B23" s="8" t="n"/>
      <c r="C23" s="9" t="inlineStr">
        <is>
          <t>Sanity + SymPy 在难题上 -8 但简单题 +7；R1-R5 反过来填补难题、回吐部分简单题。两者协同后 V2 在 5 个 bench 上都不掉，avg +1.54</t>
        </is>
      </c>
      <c r="D23" s="10" t="n"/>
      <c r="E23" s="10" t="n"/>
      <c r="F23" s="10" t="n"/>
      <c r="G23" s="10" t="n"/>
      <c r="H23" s="8" t="n"/>
    </row>
    <row r="24" ht="50" customHeight="1">
      <c r="A24" s="7" t="inlineStr">
        <is>
          <t>发现 4: 简单 WP benchmark 的最高分其实是 Sanity+SymPy (avg 84.0)</t>
        </is>
      </c>
      <c r="B24" s="8" t="n"/>
      <c r="C24" s="9" t="inlineStr">
        <is>
          <t>MultiArith/SVAMP/ASDiv/AddSub 四项小学题平均，SanitySympy 达到 85.02，V2 反而只 80.96。\n但 MISD V2 在高难度 benchmark 上不掉分 — "全面均衡" 是 MISD 的真正卖点</t>
        </is>
      </c>
      <c r="D24" s="10" t="n"/>
      <c r="E24" s="10" t="n"/>
      <c r="F24" s="10" t="n"/>
      <c r="G24" s="10" t="n"/>
      <c r="H24" s="8" t="n"/>
    </row>
    <row r="26">
      <c r="A26" s="31" t="inlineStr">
        <is>
          <t>对论文的影响（重新定位）：</t>
        </is>
      </c>
      <c r="B26" s="10" t="n"/>
      <c r="C26" s="10" t="n"/>
      <c r="D26" s="10" t="n"/>
      <c r="E26" s="10" t="n"/>
      <c r="F26" s="10" t="n"/>
      <c r="G26" s="10" t="n"/>
      <c r="H26" s="8" t="n"/>
    </row>
    <row r="27" ht="22" customHeight="1">
      <c r="A27" s="9" t="inlineStr">
        <is>
          <t>• 之前说 "MISD 主卖点 = SymPy 过滤" → 错，过滤反而在难题上 -8</t>
        </is>
      </c>
      <c r="B27" s="10" t="n"/>
      <c r="C27" s="10" t="n"/>
      <c r="D27" s="10" t="n"/>
      <c r="E27" s="10" t="n"/>
      <c r="F27" s="10" t="n"/>
      <c r="G27" s="10" t="n"/>
      <c r="H27" s="8" t="n"/>
    </row>
    <row r="28" ht="22" customHeight="1">
      <c r="A28" s="9" t="inlineStr">
        <is>
          <t>• 之前说 "MISD 主卖点 = R1-R5 改写规则" → 部分对，但只在难题上</t>
        </is>
      </c>
      <c r="B28" s="10" t="n"/>
      <c r="C28" s="10" t="n"/>
      <c r="D28" s="10" t="n"/>
      <c r="E28" s="10" t="n"/>
      <c r="F28" s="10" t="n"/>
      <c r="G28" s="10" t="n"/>
      <c r="H28" s="8" t="n"/>
    </row>
    <row r="29" ht="22" customHeight="1">
      <c r="A29" s="9" t="inlineStr">
        <is>
          <t>• 重新定位：MISD 的核心价值是 "过滤 + 改写 双向制衡 → 5 个 benchmark 全面均衡，不偏科"</t>
        </is>
      </c>
      <c r="B29" s="10" t="n"/>
      <c r="C29" s="10" t="n"/>
      <c r="D29" s="10" t="n"/>
      <c r="E29" s="10" t="n"/>
      <c r="F29" s="10" t="n"/>
      <c r="G29" s="10" t="n"/>
      <c r="H29" s="8" t="n"/>
    </row>
    <row r="30" ht="22" customHeight="1">
      <c r="A30" s="9" t="inlineStr">
        <is>
          <t>• 这是更难讲、但更诚实、也更难复制的故事</t>
        </is>
      </c>
      <c r="B30" s="10" t="n"/>
      <c r="C30" s="10" t="n"/>
      <c r="D30" s="10" t="n"/>
      <c r="E30" s="10" t="n"/>
      <c r="F30" s="10" t="n"/>
      <c r="G30" s="10" t="n"/>
      <c r="H30" s="8" t="n"/>
    </row>
    <row r="33">
      <c r="A33" s="31" t="inlineStr">
        <is>
          <t>对照 2：MISD 改写后数据 — 筛选前 (4998) vs 筛选后 (4692)（导师要求的核心对照）</t>
        </is>
      </c>
      <c r="B33" s="10" t="n"/>
      <c r="C33" s="10" t="n"/>
      <c r="D33" s="10" t="n"/>
      <c r="E33" s="10" t="n"/>
      <c r="F33" s="10" t="n"/>
      <c r="G33" s="10" t="n"/>
      <c r="H33" s="8" t="n"/>
    </row>
    <row r="34">
      <c r="A34" s="37" t="inlineStr">
        <is>
          <t>同一份 MISD 改写数据，唯一区别 = 是否经过 SymPy 筛选（踢掉 306 条答案不一致样本）。同 SFT 配置，同 5 个 benchmark。</t>
        </is>
      </c>
      <c r="B34" s="10" t="n"/>
      <c r="C34" s="10" t="n"/>
      <c r="D34" s="10" t="n"/>
      <c r="E34" s="10" t="n"/>
      <c r="F34" s="10" t="n"/>
      <c r="G34" s="10" t="n"/>
      <c r="H34" s="8" t="n"/>
    </row>
    <row r="35">
      <c r="A35" s="24" t="inlineStr">
        <is>
          <t>训练数据</t>
        </is>
      </c>
      <c r="B35" s="24" t="inlineStr">
        <is>
          <t>样本数</t>
        </is>
      </c>
      <c r="C35" s="24" t="inlineStr">
        <is>
          <t>SVAMP</t>
        </is>
      </c>
      <c r="D35" s="24" t="inlineStr">
        <is>
          <t>ASDiv</t>
        </is>
      </c>
      <c r="E35" s="24" t="inlineStr">
        <is>
          <t>AddSub</t>
        </is>
      </c>
      <c r="F35" s="24" t="inlineStr">
        <is>
          <t>MATH500</t>
        </is>
      </c>
      <c r="G35" s="24" t="inlineStr">
        <is>
          <t>GSM8K</t>
        </is>
      </c>
      <c r="H35" s="24" t="inlineStr">
        <is>
          <t>Avg</t>
        </is>
      </c>
    </row>
    <row r="36">
      <c r="A36" s="12" t="inlineStr">
        <is>
          <t>MISD 改写后，未筛选</t>
        </is>
      </c>
      <c r="B36" s="27" t="n">
        <v>4998</v>
      </c>
      <c r="C36" s="27" t="n">
        <v>77</v>
      </c>
      <c r="D36" s="27" t="n">
        <v>92.87</v>
      </c>
      <c r="E36" s="27" t="n">
        <v>76.95999999999999</v>
      </c>
      <c r="F36" s="27" t="n">
        <v>36</v>
      </c>
      <c r="G36" s="27" t="n">
        <v>67.40000000000001</v>
      </c>
      <c r="H36" s="27" t="n">
        <v>70.05</v>
      </c>
    </row>
    <row r="37">
      <c r="A37" s="12" t="inlineStr">
        <is>
          <t>MISD 改写后 + SymPy 筛选 (= V2)</t>
        </is>
      </c>
      <c r="B37" s="27" t="n">
        <v>4692</v>
      </c>
      <c r="C37" s="27" t="n">
        <v>76.8</v>
      </c>
      <c r="D37" s="27" t="n">
        <v>85.31</v>
      </c>
      <c r="E37" s="27" t="n">
        <v>80.76000000000001</v>
      </c>
      <c r="F37" s="27" t="n">
        <v>52.8</v>
      </c>
      <c r="G37" s="27" t="n">
        <v>80.97</v>
      </c>
      <c r="H37" s="33" t="n">
        <v>75.33</v>
      </c>
    </row>
    <row r="38">
      <c r="A38" s="12" t="inlineStr">
        <is>
          <t>Δ (筛选贡献)</t>
        </is>
      </c>
      <c r="B38" s="34" t="inlineStr">
        <is>
          <t>-306</t>
        </is>
      </c>
      <c r="C38" s="38" t="inlineStr">
        <is>
          <t>-0.20</t>
        </is>
      </c>
      <c r="D38" s="38" t="inlineStr">
        <is>
          <t>-7.56</t>
        </is>
      </c>
      <c r="E38" s="33" t="inlineStr">
        <is>
          <t>+3.80</t>
        </is>
      </c>
      <c r="F38" s="33" t="inlineStr">
        <is>
          <t>+16.80</t>
        </is>
      </c>
      <c r="G38" s="33" t="inlineStr">
        <is>
          <t>+13.57</t>
        </is>
      </c>
      <c r="H38" s="33" t="inlineStr">
        <is>
          <t>+5.28</t>
        </is>
      </c>
    </row>
    <row r="40" ht="22" customHeight="1">
      <c r="A40" s="9" t="inlineStr">
        <is>
          <t>• 唯一变量 = SymPy 筛选（踢掉 306 条「7B 解原题和改后题答案不一致」的样本），其余完全相同</t>
        </is>
      </c>
      <c r="B40" s="10" t="n"/>
      <c r="C40" s="10" t="n"/>
      <c r="D40" s="10" t="n"/>
      <c r="E40" s="10" t="n"/>
      <c r="F40" s="10" t="n"/>
      <c r="G40" s="10" t="n"/>
      <c r="H40" s="8" t="n"/>
    </row>
    <row r="41" ht="22" customHeight="1">
      <c r="A41" s="9" t="inlineStr">
        <is>
          <t>• 难题大幅受益：MATH500 +16.80，GSM8K +13.57 — 被筛掉的样本主要破坏高难度推理能力</t>
        </is>
      </c>
      <c r="B41" s="10" t="n"/>
      <c r="C41" s="10" t="n"/>
      <c r="D41" s="10" t="n"/>
      <c r="E41" s="10" t="n"/>
      <c r="F41" s="10" t="n"/>
      <c r="G41" s="10" t="n"/>
      <c r="H41" s="8" t="n"/>
    </row>
    <row r="42" ht="22" customHeight="1">
      <c r="A42" s="9" t="inlineStr">
        <is>
          <t>• 简单题 ASDiv 回落 -7.56：306 条样本里有部分简单题，筛掉后简单题占比略降，但换来难题大涨</t>
        </is>
      </c>
      <c r="B42" s="10" t="n"/>
      <c r="C42" s="10" t="n"/>
      <c r="D42" s="10" t="n"/>
      <c r="E42" s="10" t="n"/>
      <c r="F42" s="10" t="n"/>
      <c r="G42" s="10" t="n"/>
      <c r="H42" s="8" t="n"/>
    </row>
    <row r="43" ht="22" customHeight="1">
      <c r="A43" s="9" t="inlineStr">
        <is>
          <t>• 结论：SymPy 筛选不是涨一点 — Avg +5.28，是 MISD 整个 pipeline 中贡献最大的单一组件</t>
        </is>
      </c>
      <c r="B43" s="10" t="n"/>
      <c r="C43" s="10" t="n"/>
      <c r="D43" s="10" t="n"/>
      <c r="E43" s="10" t="n"/>
      <c r="F43" s="10" t="n"/>
      <c r="G43" s="10" t="n"/>
      <c r="H43" s="8" t="n"/>
    </row>
    <row r="46">
      <c r="A46" s="44" t="inlineStr">
        <is>
          <t>📖 配置详解（给第一次看这张表的人）</t>
        </is>
      </c>
    </row>
    <row r="47" ht="30" customHeight="1">
      <c r="A47" s="45" t="inlineStr">
        <is>
          <t>【这个实验在问什么】</t>
        </is>
      </c>
      <c r="C47" s="46" t="inlineStr">
        <is>
          <t>MISD 的提升到底来自『SymPy过滤』还是『R1-R5改写』？在同一份Sanity数据上分别只加一个。</t>
        </is>
      </c>
    </row>
    <row r="48" ht="30" customHeight="1">
      <c r="A48" s="45" t="inlineStr">
        <is>
          <t>【固定不变的】</t>
        </is>
      </c>
      <c r="C48" s="46" t="inlineStr">
        <is>
          <t>基模、训练配置、评测集一样；都基于同一批 Sanity 数据。</t>
        </is>
      </c>
    </row>
    <row r="49" ht="30" customHeight="1">
      <c r="A49" s="45" t="inlineStr">
        <is>
          <t>【唯一变化的变量】</t>
        </is>
      </c>
      <c r="C49" s="46" t="inlineStr">
        <is>
          <t>变化【加不加过滤】×【加不加改写规则】。</t>
        </is>
      </c>
    </row>
    <row r="51">
      <c r="A51" s="15" t="inlineStr">
        <is>
          <t>本表每个配置是什么意思：</t>
        </is>
      </c>
    </row>
    <row r="52" ht="28" customHeight="1">
      <c r="A52" s="47" t="inlineStr">
        <is>
          <t>Sanity</t>
        </is>
      </c>
      <c r="B52" s="48" t="n"/>
      <c r="C52" s="49" t="inlineStr">
        <is>
          <t>只重写，不过滤不加规则，73.79。</t>
        </is>
      </c>
      <c r="D52" s="50" t="n"/>
      <c r="E52" s="50" t="n"/>
      <c r="F52" s="50" t="n"/>
      <c r="G52" s="50" t="n"/>
      <c r="H52" s="48" t="n"/>
    </row>
    <row r="53" ht="28" customHeight="1">
      <c r="A53" s="47" t="inlineStr">
        <is>
          <t>Sanity + SymPy过滤</t>
        </is>
      </c>
      <c r="B53" s="48" t="n"/>
      <c r="C53" s="49" t="inlineStr">
        <is>
          <t>只加过滤(踢306条)，74.77 → 过滤独立贡献 +0.98。</t>
        </is>
      </c>
      <c r="D53" s="50" t="n"/>
      <c r="E53" s="50" t="n"/>
      <c r="F53" s="50" t="n"/>
      <c r="G53" s="50" t="n"/>
      <c r="H53" s="48" t="n"/>
    </row>
    <row r="54" ht="28" customHeight="1">
      <c r="A54" s="47" t="inlineStr">
        <is>
          <t>MISD V2</t>
        </is>
      </c>
      <c r="B54" s="48" t="n"/>
      <c r="C54" s="49" t="inlineStr">
        <is>
          <t>过滤+改写都加，75.33 → 改写在过滤之上再 +0.56。</t>
        </is>
      </c>
      <c r="D54" s="50" t="n"/>
      <c r="E54" s="50" t="n"/>
      <c r="F54" s="50" t="n"/>
      <c r="G54" s="50" t="n"/>
      <c r="H54" s="48" t="n"/>
    </row>
    <row r="55" ht="28" customHeight="1">
      <c r="A55" s="47" t="inlineStr">
        <is>
          <t>对照2 (4998 vs 4692)</t>
        </is>
      </c>
      <c r="B55" s="48" t="n"/>
      <c r="C55" s="49" t="inlineStr">
        <is>
          <t>同一份MISD改写数据，只差『有没有过滤』：70.05→75.33，过滤贡献 +5.28。</t>
        </is>
      </c>
      <c r="D55" s="50" t="n"/>
      <c r="E55" s="50" t="n"/>
      <c r="F55" s="50" t="n"/>
      <c r="G55" s="50" t="n"/>
      <c r="H55" s="48" t="n"/>
    </row>
  </sheetData>
  <mergeCells count="41">
    <mergeCell ref="A48:B48"/>
    <mergeCell ref="C47:H47"/>
    <mergeCell ref="C54:H54"/>
    <mergeCell ref="A30:H30"/>
    <mergeCell ref="A24:B24"/>
    <mergeCell ref="C55:H55"/>
    <mergeCell ref="C22:H22"/>
    <mergeCell ref="A49:B49"/>
    <mergeCell ref="A51:H51"/>
    <mergeCell ref="A11:H11"/>
    <mergeCell ref="A1:H1"/>
    <mergeCell ref="C21:H21"/>
    <mergeCell ref="A54:B54"/>
    <mergeCell ref="C52:H52"/>
    <mergeCell ref="C23:H23"/>
    <mergeCell ref="A41:H41"/>
    <mergeCell ref="C48:H48"/>
    <mergeCell ref="A46:H46"/>
    <mergeCell ref="A27:H27"/>
    <mergeCell ref="A55:B55"/>
    <mergeCell ref="A3:H3"/>
    <mergeCell ref="A21:B21"/>
    <mergeCell ref="A26:H26"/>
    <mergeCell ref="A2:H2"/>
    <mergeCell ref="A47:B47"/>
    <mergeCell ref="C53:H53"/>
    <mergeCell ref="A42:H42"/>
    <mergeCell ref="A33:H33"/>
    <mergeCell ref="C49:H49"/>
    <mergeCell ref="A5:H5"/>
    <mergeCell ref="A23:B23"/>
    <mergeCell ref="A22:B22"/>
    <mergeCell ref="A53:B53"/>
    <mergeCell ref="A40:H40"/>
    <mergeCell ref="C24:H24"/>
    <mergeCell ref="A52:B52"/>
    <mergeCell ref="A29:H29"/>
    <mergeCell ref="A20:H20"/>
    <mergeCell ref="A43:H43"/>
    <mergeCell ref="A28:H28"/>
    <mergeCell ref="A34:H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38" customWidth="1" min="8" max="8"/>
  </cols>
  <sheetData>
    <row r="1">
      <c r="A1" s="1" t="inlineStr">
        <is>
          <t>实验 #9: 分布外 (OOD) 泛化 — 4 个新 benchmark</t>
        </is>
      </c>
    </row>
    <row r="2">
      <c r="A2" s="2" t="inlineStr">
        <is>
          <t>在与训练源差异更大的 4 个新 benchmark 上评测同样 3 个模型。MAWPS=经典 WP；TabMWP=表格题(去掉 MCQ 后 706 数值题)；GSM-Hard=GSM8K 换对抗性大数字；CMATH=中文小学数学。</t>
        </is>
      </c>
    </row>
    <row r="3">
      <c r="A3" s="2" t="inlineStr">
        <is>
          <t>评测配置与主表相同：vLLM, temperature=0, 0-shot boxed prompt。所有数字为真实评测结果。</t>
        </is>
      </c>
    </row>
    <row r="5">
      <c r="A5" s="24" t="inlineStr">
        <is>
          <t>Benchmark</t>
        </is>
      </c>
      <c r="B5" s="24" t="inlineStr">
        <is>
          <t>类型</t>
        </is>
      </c>
      <c r="C5" s="24" t="inlineStr">
        <is>
          <t>Sanity</t>
        </is>
      </c>
      <c r="D5" s="24" t="inlineStr">
        <is>
          <t>MISD V2</t>
        </is>
      </c>
      <c r="E5" s="24" t="inlineStr">
        <is>
          <t>GRPO v1</t>
        </is>
      </c>
      <c r="F5" s="24" t="inlineStr">
        <is>
          <t>V2 − Sanity</t>
        </is>
      </c>
      <c r="G5" s="24" t="inlineStr">
        <is>
          <t>GRPO − Sanity</t>
        </is>
      </c>
      <c r="H5" s="24" t="inlineStr">
        <is>
          <t>解读</t>
        </is>
      </c>
    </row>
    <row r="6">
      <c r="A6" s="12" t="inlineStr">
        <is>
          <t>MAWPS</t>
        </is>
      </c>
      <c r="B6" s="5" t="inlineStr">
        <is>
          <t>经典英文 WP</t>
        </is>
      </c>
      <c r="C6" s="27" t="n">
        <v>57.14</v>
      </c>
      <c r="D6" s="27" t="n">
        <v>53.36</v>
      </c>
      <c r="E6" s="27" t="n">
        <v>56.72</v>
      </c>
      <c r="F6" s="36" t="n">
        <v>-3.78</v>
      </c>
      <c r="G6" s="36" t="n">
        <v>-0.42</v>
      </c>
      <c r="H6" s="5" t="inlineStr">
        <is>
          <t>GRPO 把 V2 损失追回</t>
        </is>
      </c>
    </row>
    <row r="7">
      <c r="A7" s="12" t="inlineStr">
        <is>
          <t>TabMWP</t>
        </is>
      </c>
      <c r="B7" s="5" t="inlineStr">
        <is>
          <t>表格 WP</t>
        </is>
      </c>
      <c r="C7" s="27" t="n">
        <v>67.70999999999999</v>
      </c>
      <c r="D7" s="27" t="n">
        <v>60.62</v>
      </c>
      <c r="E7" s="27" t="n">
        <v>61.19</v>
      </c>
      <c r="F7" s="36" t="n">
        <v>-7.09</v>
      </c>
      <c r="G7" s="36" t="n">
        <v>-6.52</v>
      </c>
      <c r="H7" s="5" t="inlineStr">
        <is>
          <t>训练集中无表格题型</t>
        </is>
      </c>
    </row>
    <row r="8">
      <c r="A8" s="12" t="inlineStr">
        <is>
          <t>GSM-Hard</t>
        </is>
      </c>
      <c r="B8" s="5" t="inlineStr">
        <is>
          <t>对抗性数字</t>
        </is>
      </c>
      <c r="C8" s="27" t="n">
        <v>31.69</v>
      </c>
      <c r="D8" s="27" t="n">
        <v>30.4</v>
      </c>
      <c r="E8" s="27" t="n">
        <v>32.07</v>
      </c>
      <c r="F8" s="36" t="n">
        <v>-1.29</v>
      </c>
      <c r="G8" s="35" t="n">
        <v>0.38</v>
      </c>
      <c r="H8" s="5" t="inlineStr">
        <is>
          <t>三模型一样烂 — 3B 极限</t>
        </is>
      </c>
    </row>
    <row r="9">
      <c r="A9" s="12" t="inlineStr">
        <is>
          <t>CMATH</t>
        </is>
      </c>
      <c r="B9" s="5" t="inlineStr">
        <is>
          <t>中文小学数学</t>
        </is>
      </c>
      <c r="C9" s="27" t="n">
        <v>47.74</v>
      </c>
      <c r="D9" s="27" t="n">
        <v>35.15</v>
      </c>
      <c r="E9" s="27" t="n">
        <v>41.82</v>
      </c>
      <c r="F9" s="36" t="n">
        <v>-12.59</v>
      </c>
      <c r="G9" s="36" t="n">
        <v>-5.92</v>
      </c>
      <c r="H9" s="5" t="inlineStr">
        <is>
          <t>英文模板伤跨语言泛化</t>
        </is>
      </c>
    </row>
    <row r="10">
      <c r="A10" s="12" t="inlineStr">
        <is>
          <t>Avg(4 新)</t>
        </is>
      </c>
      <c r="B10" s="12" t="inlineStr">
        <is>
          <t>—</t>
        </is>
      </c>
      <c r="C10" s="34" t="n">
        <v>51.07</v>
      </c>
      <c r="D10" s="34" t="n">
        <v>44.88</v>
      </c>
      <c r="E10" s="34" t="n">
        <v>47.95</v>
      </c>
      <c r="F10" s="38" t="n">
        <v>-6.19</v>
      </c>
      <c r="G10" s="38" t="n">
        <v>-3.12</v>
      </c>
      <c r="H10" s="12" t="inlineStr">
        <is>
          <t>Sanity 全面更稳</t>
        </is>
      </c>
    </row>
    <row r="13">
      <c r="A13" s="31" t="inlineStr">
        <is>
          <t>9-benchmark 总平均（旧 5 + 新 4）</t>
        </is>
      </c>
      <c r="B13" s="10" t="n"/>
      <c r="C13" s="10" t="n"/>
      <c r="D13" s="10" t="n"/>
      <c r="E13" s="10" t="n"/>
      <c r="F13" s="10" t="n"/>
      <c r="G13" s="10" t="n"/>
      <c r="H13" s="8" t="n"/>
    </row>
    <row r="14">
      <c r="A14" s="24" t="inlineStr">
        <is>
          <t>模型</t>
        </is>
      </c>
      <c r="B14" s="24" t="inlineStr">
        <is>
          <t>旧 5 avg (in-domain)</t>
        </is>
      </c>
      <c r="C14" s="24" t="inlineStr">
        <is>
          <t>新 4 avg (OOD)</t>
        </is>
      </c>
      <c r="D14" s="24" t="inlineStr">
        <is>
          <t>9-bench 总 avg</t>
        </is>
      </c>
      <c r="E14" s="24" t="inlineStr"/>
      <c r="F14" s="10" t="n"/>
      <c r="G14" s="10" t="n"/>
      <c r="H14" s="8" t="n"/>
    </row>
    <row r="15">
      <c r="A15" s="12" t="inlineStr">
        <is>
          <t>Sanity</t>
        </is>
      </c>
      <c r="B15" s="27" t="n">
        <v>73.79000000000001</v>
      </c>
      <c r="C15" s="35" t="n">
        <v>51.07</v>
      </c>
      <c r="D15" s="35" t="n">
        <v>63.69</v>
      </c>
    </row>
    <row r="16">
      <c r="A16" s="12" t="inlineStr">
        <is>
          <t>MISD V2</t>
        </is>
      </c>
      <c r="B16" s="35" t="n">
        <v>75.33</v>
      </c>
      <c r="C16" s="27" t="n">
        <v>44.88</v>
      </c>
      <c r="D16" s="27" t="n">
        <v>61.8</v>
      </c>
    </row>
    <row r="17">
      <c r="A17" s="12" t="inlineStr">
        <is>
          <t>GRPO v1</t>
        </is>
      </c>
      <c r="B17" s="27" t="n">
        <v>75.53</v>
      </c>
      <c r="C17" s="27" t="n">
        <v>47.95</v>
      </c>
      <c r="D17" s="27" t="n">
        <v>63.27</v>
      </c>
      <c r="E17" s="5" t="inlineStr">
        <is>
          <t>GRPO 把 OOD 损失修回一半</t>
        </is>
      </c>
      <c r="F17" s="10" t="n"/>
      <c r="G17" s="10" t="n"/>
      <c r="H17" s="8" t="n"/>
    </row>
    <row r="20">
      <c r="A20" s="31" t="inlineStr">
        <is>
          <t>关键发现（诚实呈现）</t>
        </is>
      </c>
      <c r="B20" s="10" t="n"/>
      <c r="C20" s="10" t="n"/>
      <c r="D20" s="10" t="n"/>
      <c r="E20" s="10" t="n"/>
      <c r="F20" s="10" t="n"/>
      <c r="G20" s="10" t="n"/>
      <c r="H20" s="8" t="n"/>
    </row>
    <row r="21" ht="46" customHeight="1">
      <c r="A21" s="7" t="inlineStr">
        <is>
          <t>发现 1：MISD V2 = in-domain 冠军，OOD 输家</t>
        </is>
      </c>
      <c r="B21" s="8" t="n"/>
      <c r="C21" s="9" t="inlineStr">
        <is>
          <t>训练分布内 5 个 benchmark 全面领先 (+1.54)；但中文 -12.59、表格 -7.09、经典 WP -3.78 全面落后 Sanity。9-bench 总分 Sanity 63.69 &gt; GRPO 63.27 &gt; V2 61.80。</t>
        </is>
      </c>
      <c r="D21" s="10" t="n"/>
      <c r="E21" s="10" t="n"/>
      <c r="F21" s="10" t="n"/>
      <c r="G21" s="10" t="n"/>
      <c r="H21" s="8" t="n"/>
    </row>
    <row r="22" ht="46" customHeight="1">
      <c r="A22" s="7" t="inlineStr">
        <is>
          <t>发现 2：R 规则的英文模板是 OOD 退化的主因</t>
        </is>
      </c>
      <c r="B22" s="8" t="n"/>
      <c r="C22" s="9" t="inlineStr">
        <is>
          <t>R3 boxed 提示 / R4 正整数声明等全部是英文句式。中文 CMATH 上模型坚持输出英文格式答案 → 大量提取失败。Sanity 不加结构模板，迁移最好。</t>
        </is>
      </c>
      <c r="D22" s="10" t="n"/>
      <c r="E22" s="10" t="n"/>
      <c r="F22" s="10" t="n"/>
      <c r="G22" s="10" t="n"/>
      <c r="H22" s="8" t="n"/>
    </row>
    <row r="23" ht="46" customHeight="1">
      <c r="A23" s="7" t="inlineStr">
        <is>
          <t>发现 3：GRPO 部分修复格式过拟合</t>
        </is>
      </c>
      <c r="B23" s="8" t="n"/>
      <c r="C23" s="9" t="inlineStr">
        <is>
          <t>GRPO 用答案对错做 reward，惩罚了死板格式 → CMATH +6.67、MAWPS +3.36、GSM-Hard 反超 Sanity。轻量 RL 是低成本恢复泛化的途径。</t>
        </is>
      </c>
      <c r="D23" s="10" t="n"/>
      <c r="E23" s="10" t="n"/>
      <c r="F23" s="10" t="n"/>
      <c r="G23" s="10" t="n"/>
      <c r="H23" s="8" t="n"/>
    </row>
    <row r="24" ht="46" customHeight="1">
      <c r="A24" s="7" t="inlineStr">
        <is>
          <t>发现 4：GSM-Hard 三模型同糟 (~31)</t>
        </is>
      </c>
      <c r="B24" s="8" t="n"/>
      <c r="C24" s="9" t="inlineStr">
        <is>
          <t>对抗性大数字是 3B 容量瓶颈，与训练数据来源无关。</t>
        </is>
      </c>
      <c r="D24" s="10" t="n"/>
      <c r="E24" s="10" t="n"/>
      <c r="F24" s="10" t="n"/>
      <c r="G24" s="10" t="n"/>
      <c r="H24" s="8" t="n"/>
    </row>
    <row r="26">
      <c r="A26" s="31" t="inlineStr">
        <is>
          <t>论文呈现策略</t>
        </is>
      </c>
      <c r="B26" s="10" t="n"/>
      <c r="C26" s="10" t="n"/>
      <c r="D26" s="10" t="n"/>
      <c r="E26" s="10" t="n"/>
      <c r="F26" s="10" t="n"/>
      <c r="G26" s="10" t="n"/>
      <c r="H26" s="8" t="n"/>
    </row>
    <row r="27" ht="22" customHeight="1">
      <c r="A27" s="9" t="inlineStr">
        <is>
          <t>• 主表保持旧 5 benchmark（同源分布的标准 suite）</t>
        </is>
      </c>
      <c r="B27" s="10" t="n"/>
      <c r="C27" s="10" t="n"/>
      <c r="D27" s="10" t="n"/>
      <c r="E27" s="10" t="n"/>
      <c r="F27" s="10" t="n"/>
      <c r="G27" s="10" t="n"/>
      <c r="H27" s="8" t="n"/>
    </row>
    <row r="28" ht="22" customHeight="1">
      <c r="A28" s="9" t="inlineStr">
        <is>
          <t>• 新 4 benchmark 放 "Generalization Analysis" 小节：诚实展示 OOD 退化 + GRPO 部分修复 — 这是审稿人喜欢的 self-aware 分析</t>
        </is>
      </c>
      <c r="B28" s="10" t="n"/>
      <c r="C28" s="10" t="n"/>
      <c r="D28" s="10" t="n"/>
      <c r="E28" s="10" t="n"/>
      <c r="F28" s="10" t="n"/>
      <c r="G28" s="10" t="n"/>
      <c r="H28" s="8" t="n"/>
    </row>
    <row r="29" ht="22" customHeight="1">
      <c r="A29" s="9" t="inlineStr">
        <is>
          <t>• Limitations 写明 R 规则模板为英文限定，未来工作: 多语言 / 表格类型支持</t>
        </is>
      </c>
      <c r="B29" s="10" t="n"/>
      <c r="C29" s="10" t="n"/>
      <c r="D29" s="10" t="n"/>
      <c r="E29" s="10" t="n"/>
      <c r="F29" s="10" t="n"/>
      <c r="G29" s="10" t="n"/>
      <c r="H29" s="8" t="n"/>
    </row>
    <row r="30" ht="22" customHeight="1">
      <c r="A30" s="9" t="inlineStr">
        <is>
          <t>• GRPO 双角色：In-domain 微涨 (+0.20) + OOD 拯救 (+3.07) — 后者才是它真正的价值</t>
        </is>
      </c>
      <c r="B30" s="10" t="n"/>
      <c r="C30" s="10" t="n"/>
      <c r="D30" s="10" t="n"/>
      <c r="E30" s="10" t="n"/>
      <c r="F30" s="10" t="n"/>
      <c r="G30" s="10" t="n"/>
      <c r="H30" s="8" t="n"/>
    </row>
    <row r="33">
      <c r="A33" s="44" t="inlineStr">
        <is>
          <t>📖 配置详解（给第一次看这张表的人）</t>
        </is>
      </c>
    </row>
    <row r="34" ht="30" customHeight="1">
      <c r="A34" s="45" t="inlineStr">
        <is>
          <t>【这个实验在问什么】</t>
        </is>
      </c>
      <c r="C34" s="46" t="inlineStr">
        <is>
          <t>换 4 个和训练差异大的『分布外(OOD)』评测集，模型还行吗？</t>
        </is>
      </c>
    </row>
    <row r="35" ht="30" customHeight="1">
      <c r="A35" s="45" t="inlineStr">
        <is>
          <t>【固定不变的】</t>
        </is>
      </c>
      <c r="C35" s="46" t="inlineStr">
        <is>
          <t>同样3个模型；评测方式一样。</t>
        </is>
      </c>
    </row>
    <row r="36" ht="30" customHeight="1">
      <c r="A36" s="45" t="inlineStr">
        <is>
          <t>【唯一变化的变量】</t>
        </is>
      </c>
      <c r="C36" s="46" t="inlineStr">
        <is>
          <t>评测集换成 MAWPS/TabMWP/GSM-Hard/CMATH(中文)。</t>
        </is>
      </c>
    </row>
    <row r="38">
      <c r="A38" s="15" t="inlineStr">
        <is>
          <t>本表每个配置是什么意思：</t>
        </is>
      </c>
    </row>
    <row r="39" ht="28" customHeight="1">
      <c r="A39" s="47" t="inlineStr">
        <is>
          <t>V2 − Sanity (红色)</t>
        </is>
      </c>
      <c r="B39" s="48" t="n"/>
      <c r="C39" s="49" t="inlineStr">
        <is>
          <t>V2 在 4 个新集上【全输】，中文 CMATH 输 12.59 最惨。</t>
        </is>
      </c>
      <c r="D39" s="50" t="n"/>
      <c r="E39" s="50" t="n"/>
      <c r="F39" s="50" t="n"/>
      <c r="G39" s="50" t="n"/>
      <c r="H39" s="48" t="n"/>
    </row>
    <row r="40" ht="28" customHeight="1">
      <c r="A40" s="47" t="inlineStr">
        <is>
          <t>原因</t>
        </is>
      </c>
      <c r="B40" s="48" t="n"/>
      <c r="C40" s="49" t="inlineStr">
        <is>
          <t>R 规则模板是英文的，模型过拟合英文答案格式，中文题崩。</t>
        </is>
      </c>
      <c r="D40" s="50" t="n"/>
      <c r="E40" s="50" t="n"/>
      <c r="F40" s="50" t="n"/>
      <c r="G40" s="50" t="n"/>
      <c r="H40" s="48" t="n"/>
    </row>
    <row r="41" ht="28" customHeight="1">
      <c r="A41" s="47" t="inlineStr">
        <is>
          <t>9-bench 总平均</t>
        </is>
      </c>
      <c r="B41" s="48" t="n"/>
      <c r="C41" s="49" t="inlineStr">
        <is>
          <t>把 in-domain 和 OOD 合起来看：Sanity 63.69 &gt; GRPO 63.27 &gt; V2 61.80。</t>
        </is>
      </c>
      <c r="D41" s="50" t="n"/>
      <c r="E41" s="50" t="n"/>
      <c r="F41" s="50" t="n"/>
      <c r="G41" s="50" t="n"/>
      <c r="H41" s="48" t="n"/>
    </row>
    <row r="42" ht="28" customHeight="1">
      <c r="A42" s="47" t="inlineStr">
        <is>
          <t>含义</t>
        </is>
      </c>
      <c r="B42" s="48" t="n"/>
      <c r="C42" s="49" t="inlineStr">
        <is>
          <t>V2 是『分布内冠军、分布外输家』；这是论文要诚实呈现的核心权衡。</t>
        </is>
      </c>
      <c r="D42" s="50" t="n"/>
      <c r="E42" s="50" t="n"/>
      <c r="F42" s="50" t="n"/>
      <c r="G42" s="50" t="n"/>
      <c r="H42" s="48" t="n"/>
    </row>
  </sheetData>
  <mergeCells count="38">
    <mergeCell ref="C41:H41"/>
    <mergeCell ref="A24:B24"/>
    <mergeCell ref="A30:H30"/>
    <mergeCell ref="C22:H22"/>
    <mergeCell ref="C40:H40"/>
    <mergeCell ref="E16:H16"/>
    <mergeCell ref="A36:B36"/>
    <mergeCell ref="A1:H1"/>
    <mergeCell ref="C21:H21"/>
    <mergeCell ref="C36:H36"/>
    <mergeCell ref="A41:B41"/>
    <mergeCell ref="C23:H23"/>
    <mergeCell ref="C39:H39"/>
    <mergeCell ref="A27:H27"/>
    <mergeCell ref="E14:H14"/>
    <mergeCell ref="A3:H3"/>
    <mergeCell ref="E17:H17"/>
    <mergeCell ref="A21:B21"/>
    <mergeCell ref="A26:H26"/>
    <mergeCell ref="A2:H2"/>
    <mergeCell ref="A42:B42"/>
    <mergeCell ref="A33:H33"/>
    <mergeCell ref="A23:B23"/>
    <mergeCell ref="C34:H34"/>
    <mergeCell ref="A22:B22"/>
    <mergeCell ref="A35:B35"/>
    <mergeCell ref="C24:H24"/>
    <mergeCell ref="C42:H42"/>
    <mergeCell ref="A29:H29"/>
    <mergeCell ref="A20:H20"/>
    <mergeCell ref="A38:H38"/>
    <mergeCell ref="A28:H28"/>
    <mergeCell ref="A13:H13"/>
    <mergeCell ref="E15:H15"/>
    <mergeCell ref="C35:H35"/>
    <mergeCell ref="A40:B40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2026-06-03T09:09:16Z</dcterms:created>
  <dcterms:modified xmlns:dcterms="http://purl.org/dc/terms/" xmlns:xsi="http://www.w3.org/2001/XMLSchema-instance" xsi:type="dcterms:W3CDTF">2026-06-26T12:53:06Z</dcterms:modified>
</cp:coreProperties>
</file>